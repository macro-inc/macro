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ebastianbey/Documents/DTU/Master Thesis/Excel Master Analysis/"/>
    </mc:Choice>
  </mc:AlternateContent>
  <xr:revisionPtr revIDLastSave="0" documentId="8_{156D1A72-B5C8-9640-9214-BA8B341E930E}" xr6:coauthVersionLast="47" xr6:coauthVersionMax="47" xr10:uidLastSave="{00000000-0000-0000-0000-000000000000}"/>
  <bookViews>
    <workbookView xWindow="4420" yWindow="660" windowWidth="24840" windowHeight="16720" firstSheet="3" activeTab="5" xr2:uid="{DC063EFC-7C7B-944D-AA6F-536463B4702D}"/>
  </bookViews>
  <sheets>
    <sheet name="Input Parameters" sheetId="1" r:id="rId1"/>
    <sheet name="Transport and Storage" sheetId="6" r:id="rId2"/>
    <sheet name="Capture Model" sheetId="8" r:id="rId3"/>
    <sheet name="ETS" sheetId="10" r:id="rId4"/>
    <sheet name="Inflation and WACC" sheetId="17" r:id="rId5"/>
    <sheet name="Cost of CO2 Avoided" sheetId="4" r:id="rId6"/>
    <sheet name="Policies" sheetId="9" r:id="rId7"/>
    <sheet name="Scenario Design" sheetId="12" r:id="rId8"/>
    <sheet name="Sensitivities" sheetId="14" r:id="rId9"/>
    <sheet name="RQ1" sheetId="15" r:id="rId10"/>
    <sheet name="RQ2" sheetId="16" r:id="rId11"/>
    <sheet name="Cement Production" sheetId="18" r:id="rId12"/>
  </sheets>
  <definedNames>
    <definedName name="_xlnm._FilterDatabase" localSheetId="1" hidden="1">'Transport and Storage'!$B$4:$M$98</definedName>
    <definedName name="solver_eng" localSheetId="7" hidden="1">1</definedName>
    <definedName name="solver_lin" localSheetId="7" hidden="1">2</definedName>
    <definedName name="solver_neg" localSheetId="7" hidden="1">1</definedName>
    <definedName name="solver_num" localSheetId="7" hidden="1">0</definedName>
    <definedName name="solver_opt" localSheetId="7" hidden="1">'Scenario Design'!#REF!</definedName>
    <definedName name="solver_typ" localSheetId="7" hidden="1">1</definedName>
    <definedName name="solver_val" localSheetId="7" hidden="1">0</definedName>
    <definedName name="solver_ver" localSheetId="7" hidden="1">2</definedName>
  </definedNames>
  <calcPr calcId="191029"/>
  <pivotCaches>
    <pivotCache cacheId="154" r:id="rId13"/>
    <pivotCache cacheId="155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8" l="1"/>
  <c r="C26" i="18" s="1"/>
  <c r="C22" i="18"/>
  <c r="C45" i="18"/>
  <c r="C44" i="18"/>
  <c r="C13" i="17"/>
  <c r="C59" i="17"/>
  <c r="C8" i="18"/>
  <c r="C12" i="18" s="1"/>
  <c r="C14" i="18" s="1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L21" i="4"/>
  <c r="D19" i="4"/>
  <c r="W18" i="4" s="1"/>
  <c r="D47" i="1"/>
  <c r="P18" i="4"/>
  <c r="Q18" i="4"/>
  <c r="R18" i="4"/>
  <c r="S18" i="4"/>
  <c r="T18" i="4"/>
  <c r="U18" i="4"/>
  <c r="V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O20" i="4"/>
  <c r="O19" i="4"/>
  <c r="O18" i="4"/>
  <c r="N20" i="4"/>
  <c r="N19" i="4"/>
  <c r="N18" i="4"/>
  <c r="M19" i="4"/>
  <c r="M20" i="4"/>
  <c r="M18" i="4"/>
  <c r="L22" i="4"/>
  <c r="L20" i="4"/>
  <c r="L19" i="4"/>
  <c r="L18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L36" i="4"/>
  <c r="D8" i="1"/>
  <c r="D6" i="8"/>
  <c r="M36" i="14"/>
  <c r="M37" i="14"/>
  <c r="M38" i="14"/>
  <c r="M39" i="14"/>
  <c r="M40" i="14"/>
  <c r="M41" i="14"/>
  <c r="M35" i="14"/>
  <c r="F36" i="14"/>
  <c r="F37" i="14"/>
  <c r="F38" i="14"/>
  <c r="F39" i="14"/>
  <c r="F40" i="14"/>
  <c r="F41" i="14"/>
  <c r="F35" i="14"/>
  <c r="J36" i="14"/>
  <c r="K36" i="14"/>
  <c r="J37" i="14"/>
  <c r="K37" i="14"/>
  <c r="J38" i="14"/>
  <c r="K38" i="14"/>
  <c r="J39" i="14"/>
  <c r="K39" i="14"/>
  <c r="J40" i="14"/>
  <c r="K40" i="14"/>
  <c r="J41" i="14"/>
  <c r="K41" i="14"/>
  <c r="K35" i="14"/>
  <c r="J35" i="14"/>
  <c r="C36" i="14"/>
  <c r="D36" i="14"/>
  <c r="C37" i="14"/>
  <c r="D37" i="14"/>
  <c r="C38" i="14"/>
  <c r="D38" i="14"/>
  <c r="C39" i="14"/>
  <c r="D39" i="14"/>
  <c r="C40" i="14"/>
  <c r="D40" i="14"/>
  <c r="C41" i="14"/>
  <c r="D41" i="14"/>
  <c r="D35" i="14"/>
  <c r="C35" i="14"/>
  <c r="C51" i="12"/>
  <c r="C4" i="10"/>
  <c r="C6" i="10"/>
  <c r="C5" i="10"/>
  <c r="E38" i="12" s="1"/>
  <c r="E19" i="12"/>
  <c r="F61" i="14"/>
  <c r="D38" i="12" l="1"/>
  <c r="E51" i="12"/>
  <c r="F51" i="12"/>
  <c r="F38" i="12"/>
  <c r="D51" i="12"/>
  <c r="C38" i="12"/>
  <c r="C32" i="18"/>
  <c r="C34" i="18" s="1"/>
  <c r="C28" i="18"/>
  <c r="C30" i="18" s="1"/>
  <c r="C25" i="18"/>
  <c r="G4" i="18" s="1"/>
  <c r="H4" i="18" s="1"/>
  <c r="D12" i="18"/>
  <c r="D11" i="18"/>
  <c r="C19" i="18" s="1"/>
  <c r="C11" i="18"/>
  <c r="C15" i="18" s="1"/>
  <c r="G5" i="18" s="1"/>
  <c r="H5" i="18" s="1"/>
  <c r="E62" i="14"/>
  <c r="E59" i="14"/>
  <c r="C59" i="14"/>
  <c r="G16" i="18" l="1"/>
  <c r="H16" i="18" s="1"/>
  <c r="G17" i="18"/>
  <c r="H17" i="18" s="1"/>
  <c r="G21" i="18"/>
  <c r="H21" i="18" s="1"/>
  <c r="G9" i="18"/>
  <c r="H9" i="18" s="1"/>
  <c r="G22" i="18"/>
  <c r="H22" i="18" s="1"/>
  <c r="C17" i="18"/>
  <c r="C18" i="18"/>
  <c r="F60" i="14"/>
  <c r="I29" i="14"/>
  <c r="I28" i="14"/>
  <c r="I27" i="14"/>
  <c r="I23" i="14"/>
  <c r="I22" i="14"/>
  <c r="I21" i="14"/>
  <c r="I17" i="14"/>
  <c r="I16" i="14"/>
  <c r="I15" i="14"/>
  <c r="I14" i="14"/>
  <c r="I10" i="14"/>
  <c r="I9" i="14"/>
  <c r="I8" i="14"/>
  <c r="I7" i="14"/>
  <c r="J5" i="6"/>
  <c r="D7" i="8"/>
  <c r="D10" i="1"/>
  <c r="D7" i="1"/>
  <c r="H48" i="14"/>
  <c r="H49" i="14"/>
  <c r="H50" i="14"/>
  <c r="H51" i="14"/>
  <c r="H52" i="14"/>
  <c r="H53" i="14"/>
  <c r="H47" i="14"/>
  <c r="C49" i="14"/>
  <c r="C50" i="14"/>
  <c r="C51" i="14"/>
  <c r="C52" i="14"/>
  <c r="C53" i="14"/>
  <c r="C48" i="14"/>
  <c r="C47" i="14"/>
  <c r="N8" i="4"/>
  <c r="M8" i="4"/>
  <c r="G7" i="18" l="1"/>
  <c r="H7" i="18" s="1"/>
  <c r="G19" i="18"/>
  <c r="H19" i="18" s="1"/>
  <c r="G8" i="18"/>
  <c r="H8" i="18" s="1"/>
  <c r="G20" i="18"/>
  <c r="H20" i="18" s="1"/>
  <c r="O7" i="4"/>
  <c r="P7" i="4" s="1"/>
  <c r="Q7" i="4" s="1"/>
  <c r="R7" i="4" s="1"/>
  <c r="S7" i="4" s="1"/>
  <c r="T7" i="4" s="1"/>
  <c r="U7" i="4" s="1"/>
  <c r="V7" i="4" s="1"/>
  <c r="W7" i="4" s="1"/>
  <c r="X7" i="4" s="1"/>
  <c r="Y7" i="4" s="1"/>
  <c r="Z7" i="4" s="1"/>
  <c r="AA7" i="4" s="1"/>
  <c r="AB7" i="4" s="1"/>
  <c r="AC7" i="4" s="1"/>
  <c r="AD7" i="4" s="1"/>
  <c r="AE7" i="4" s="1"/>
  <c r="AF7" i="4" s="1"/>
  <c r="AG7" i="4" s="1"/>
  <c r="AH7" i="4" s="1"/>
  <c r="AI7" i="4" s="1"/>
  <c r="AJ7" i="4" s="1"/>
  <c r="I7" i="4"/>
  <c r="A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J6" i="4"/>
  <c r="I6" i="4"/>
  <c r="C63" i="17"/>
  <c r="C64" i="17" s="1"/>
  <c r="D36" i="1" s="1"/>
  <c r="C50" i="4" s="1"/>
  <c r="C6" i="17"/>
  <c r="C60" i="17" s="1"/>
  <c r="V22" i="4" l="1"/>
  <c r="W22" i="4"/>
  <c r="X22" i="4"/>
  <c r="Y22" i="4"/>
  <c r="Z22" i="4"/>
  <c r="T22" i="4"/>
  <c r="U22" i="4"/>
  <c r="M22" i="4"/>
  <c r="N22" i="4"/>
  <c r="O22" i="4"/>
  <c r="P22" i="4"/>
  <c r="Q22" i="4"/>
  <c r="R22" i="4"/>
  <c r="S22" i="4"/>
  <c r="K77" i="16"/>
  <c r="L77" i="16"/>
  <c r="M77" i="16"/>
  <c r="J77" i="16"/>
  <c r="K76" i="16"/>
  <c r="L76" i="16"/>
  <c r="M76" i="16"/>
  <c r="J76" i="16"/>
  <c r="K75" i="16"/>
  <c r="L75" i="16"/>
  <c r="M75" i="16"/>
  <c r="J75" i="16"/>
  <c r="K73" i="16"/>
  <c r="L73" i="16"/>
  <c r="M73" i="16"/>
  <c r="J73" i="16"/>
  <c r="J71" i="16"/>
  <c r="K71" i="16"/>
  <c r="L71" i="16"/>
  <c r="M71" i="16"/>
  <c r="K70" i="16"/>
  <c r="L70" i="16"/>
  <c r="M70" i="16"/>
  <c r="J70" i="16"/>
  <c r="K68" i="16"/>
  <c r="L68" i="16"/>
  <c r="M68" i="16"/>
  <c r="K69" i="16"/>
  <c r="L69" i="16"/>
  <c r="M69" i="16"/>
  <c r="J69" i="16"/>
  <c r="J68" i="16"/>
  <c r="K67" i="16"/>
  <c r="L67" i="16"/>
  <c r="M67" i="16"/>
  <c r="J67" i="16"/>
  <c r="J65" i="16"/>
  <c r="K65" i="16"/>
  <c r="L65" i="16"/>
  <c r="M65" i="16"/>
  <c r="K64" i="16"/>
  <c r="L64" i="16"/>
  <c r="M64" i="16"/>
  <c r="J64" i="16"/>
  <c r="C35" i="9" l="1"/>
  <c r="C58" i="4" s="1"/>
  <c r="O14" i="14" l="1"/>
  <c r="D67" i="15" s="1"/>
  <c r="C5" i="16" l="1"/>
  <c r="C6" i="16"/>
  <c r="C7" i="16"/>
  <c r="C8" i="16"/>
  <c r="C9" i="16"/>
  <c r="C10" i="16"/>
  <c r="C11" i="16"/>
  <c r="D5" i="16"/>
  <c r="D6" i="16"/>
  <c r="D7" i="16"/>
  <c r="D8" i="16"/>
  <c r="D9" i="16"/>
  <c r="D10" i="16"/>
  <c r="D11" i="16"/>
  <c r="E5" i="16"/>
  <c r="E6" i="16"/>
  <c r="E7" i="16"/>
  <c r="E8" i="16"/>
  <c r="E9" i="16"/>
  <c r="E10" i="16"/>
  <c r="E11" i="16"/>
  <c r="E18" i="12"/>
  <c r="M17" i="14"/>
  <c r="C70" i="15" s="1"/>
  <c r="M10" i="14"/>
  <c r="C48" i="15" s="1"/>
  <c r="O23" i="14"/>
  <c r="D92" i="15" s="1"/>
  <c r="M23" i="14"/>
  <c r="C92" i="15" s="1"/>
  <c r="O29" i="14"/>
  <c r="D114" i="15" s="1"/>
  <c r="M29" i="14"/>
  <c r="C114" i="15" s="1"/>
  <c r="O17" i="14"/>
  <c r="D70" i="15" s="1"/>
  <c r="O10" i="14"/>
  <c r="D48" i="15" s="1"/>
  <c r="N29" i="14"/>
  <c r="O27" i="14" l="1"/>
  <c r="D112" i="15" s="1"/>
  <c r="O28" i="14"/>
  <c r="D113" i="15" s="1"/>
  <c r="M27" i="14"/>
  <c r="C112" i="15" s="1"/>
  <c r="M28" i="14"/>
  <c r="C113" i="15" s="1"/>
  <c r="O21" i="14"/>
  <c r="D90" i="15" s="1"/>
  <c r="O22" i="14"/>
  <c r="D91" i="15" s="1"/>
  <c r="M21" i="14"/>
  <c r="C90" i="15" s="1"/>
  <c r="M22" i="14"/>
  <c r="C91" i="15" s="1"/>
  <c r="O15" i="14"/>
  <c r="D68" i="15" s="1"/>
  <c r="O16" i="14"/>
  <c r="D69" i="15" s="1"/>
  <c r="M14" i="14"/>
  <c r="C67" i="15" s="1"/>
  <c r="M15" i="14"/>
  <c r="C68" i="15" s="1"/>
  <c r="M16" i="14"/>
  <c r="C69" i="15" s="1"/>
  <c r="O7" i="14"/>
  <c r="D45" i="15" s="1"/>
  <c r="O8" i="14"/>
  <c r="D46" i="15" s="1"/>
  <c r="O9" i="14"/>
  <c r="D47" i="15" s="1"/>
  <c r="M7" i="14"/>
  <c r="C45" i="15" s="1"/>
  <c r="M8" i="14"/>
  <c r="C46" i="15" s="1"/>
  <c r="M9" i="14"/>
  <c r="C47" i="15" s="1"/>
  <c r="K56" i="16" l="1"/>
  <c r="L56" i="16"/>
  <c r="M56" i="16"/>
  <c r="K57" i="16"/>
  <c r="L57" i="16"/>
  <c r="M57" i="16"/>
  <c r="K58" i="16"/>
  <c r="L58" i="16"/>
  <c r="M58" i="16"/>
  <c r="K59" i="16"/>
  <c r="L59" i="16"/>
  <c r="M59" i="16"/>
  <c r="J59" i="16"/>
  <c r="J58" i="16"/>
  <c r="J57" i="16"/>
  <c r="J56" i="16"/>
  <c r="K30" i="16"/>
  <c r="L30" i="16"/>
  <c r="M30" i="16"/>
  <c r="K32" i="16"/>
  <c r="L32" i="16"/>
  <c r="M32" i="16"/>
  <c r="K34" i="16"/>
  <c r="L34" i="16"/>
  <c r="M34" i="16"/>
  <c r="J34" i="16"/>
  <c r="J32" i="16"/>
  <c r="J30" i="16"/>
  <c r="K7" i="16"/>
  <c r="L7" i="16"/>
  <c r="M7" i="16"/>
  <c r="K8" i="16"/>
  <c r="L8" i="16"/>
  <c r="M8" i="16"/>
  <c r="J8" i="16"/>
  <c r="J7" i="16"/>
  <c r="K5" i="16"/>
  <c r="L5" i="16"/>
  <c r="M5" i="16"/>
  <c r="K6" i="16"/>
  <c r="L6" i="16"/>
  <c r="M6" i="16"/>
  <c r="J5" i="16"/>
  <c r="J6" i="16"/>
  <c r="F6" i="16"/>
  <c r="F7" i="16"/>
  <c r="F8" i="16"/>
  <c r="F9" i="16"/>
  <c r="F10" i="16"/>
  <c r="F11" i="16"/>
  <c r="F5" i="16"/>
  <c r="N41" i="14"/>
  <c r="N40" i="14"/>
  <c r="N39" i="14"/>
  <c r="N38" i="14"/>
  <c r="N37" i="14"/>
  <c r="N36" i="14"/>
  <c r="N35" i="14"/>
  <c r="G36" i="14" l="1"/>
  <c r="G37" i="14"/>
  <c r="G38" i="14"/>
  <c r="G39" i="14"/>
  <c r="G40" i="14"/>
  <c r="G41" i="14"/>
  <c r="G35" i="14"/>
  <c r="F55" i="12"/>
  <c r="E55" i="12"/>
  <c r="N27" i="14"/>
  <c r="N28" i="14"/>
  <c r="D49" i="1"/>
  <c r="D48" i="1"/>
  <c r="D46" i="1"/>
  <c r="D45" i="1"/>
  <c r="D44" i="1"/>
  <c r="M31" i="16" l="1"/>
  <c r="M72" i="16"/>
  <c r="L31" i="16"/>
  <c r="L72" i="16"/>
  <c r="E22" i="14"/>
  <c r="E28" i="14" s="1"/>
  <c r="C22" i="14"/>
  <c r="C28" i="14" s="1"/>
  <c r="E16" i="14"/>
  <c r="C16" i="14"/>
  <c r="E9" i="14"/>
  <c r="C9" i="14"/>
  <c r="D27" i="14"/>
  <c r="D15" i="14"/>
  <c r="E15" i="14" s="1"/>
  <c r="E8" i="14"/>
  <c r="F58" i="12"/>
  <c r="E58" i="12"/>
  <c r="D58" i="12"/>
  <c r="C58" i="12"/>
  <c r="D55" i="12"/>
  <c r="C55" i="12"/>
  <c r="D42" i="12"/>
  <c r="C42" i="12"/>
  <c r="C62" i="14" s="1"/>
  <c r="F42" i="12"/>
  <c r="E42" i="12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G6" i="6"/>
  <c r="L6" i="6" s="1"/>
  <c r="G7" i="6"/>
  <c r="L7" i="6" s="1"/>
  <c r="G8" i="6"/>
  <c r="L8" i="6" s="1"/>
  <c r="G9" i="6"/>
  <c r="L9" i="6" s="1"/>
  <c r="G10" i="6"/>
  <c r="L10" i="6" s="1"/>
  <c r="G11" i="6"/>
  <c r="L11" i="6" s="1"/>
  <c r="G12" i="6"/>
  <c r="L12" i="6" s="1"/>
  <c r="G13" i="6"/>
  <c r="L13" i="6" s="1"/>
  <c r="G14" i="6"/>
  <c r="L14" i="6" s="1"/>
  <c r="G15" i="6"/>
  <c r="L15" i="6" s="1"/>
  <c r="G16" i="6"/>
  <c r="L16" i="6" s="1"/>
  <c r="G17" i="6"/>
  <c r="L17" i="6" s="1"/>
  <c r="G18" i="6"/>
  <c r="L18" i="6" s="1"/>
  <c r="G19" i="6"/>
  <c r="L19" i="6" s="1"/>
  <c r="G20" i="6"/>
  <c r="L20" i="6" s="1"/>
  <c r="G21" i="6"/>
  <c r="L21" i="6" s="1"/>
  <c r="G22" i="6"/>
  <c r="L22" i="6" s="1"/>
  <c r="G23" i="6"/>
  <c r="L23" i="6" s="1"/>
  <c r="G24" i="6"/>
  <c r="L24" i="6" s="1"/>
  <c r="G25" i="6"/>
  <c r="L25" i="6" s="1"/>
  <c r="G26" i="6"/>
  <c r="L26" i="6" s="1"/>
  <c r="G27" i="6"/>
  <c r="L27" i="6" s="1"/>
  <c r="G28" i="6"/>
  <c r="L28" i="6" s="1"/>
  <c r="G29" i="6"/>
  <c r="L29" i="6" s="1"/>
  <c r="G30" i="6"/>
  <c r="L30" i="6" s="1"/>
  <c r="G31" i="6"/>
  <c r="L31" i="6" s="1"/>
  <c r="G32" i="6"/>
  <c r="L32" i="6" s="1"/>
  <c r="G33" i="6"/>
  <c r="L33" i="6" s="1"/>
  <c r="G34" i="6"/>
  <c r="L34" i="6" s="1"/>
  <c r="G35" i="6"/>
  <c r="L35" i="6" s="1"/>
  <c r="G36" i="6"/>
  <c r="L36" i="6" s="1"/>
  <c r="G37" i="6"/>
  <c r="L37" i="6" s="1"/>
  <c r="G38" i="6"/>
  <c r="L38" i="6" s="1"/>
  <c r="G39" i="6"/>
  <c r="L39" i="6" s="1"/>
  <c r="G40" i="6"/>
  <c r="L40" i="6" s="1"/>
  <c r="G41" i="6"/>
  <c r="L41" i="6" s="1"/>
  <c r="G42" i="6"/>
  <c r="L42" i="6" s="1"/>
  <c r="G43" i="6"/>
  <c r="L43" i="6" s="1"/>
  <c r="G44" i="6"/>
  <c r="L44" i="6" s="1"/>
  <c r="G45" i="6"/>
  <c r="L45" i="6" s="1"/>
  <c r="G46" i="6"/>
  <c r="L46" i="6" s="1"/>
  <c r="G47" i="6"/>
  <c r="L47" i="6" s="1"/>
  <c r="G48" i="6"/>
  <c r="L48" i="6" s="1"/>
  <c r="G49" i="6"/>
  <c r="L49" i="6" s="1"/>
  <c r="G50" i="6"/>
  <c r="L50" i="6" s="1"/>
  <c r="G51" i="6"/>
  <c r="L51" i="6" s="1"/>
  <c r="G52" i="6"/>
  <c r="L52" i="6" s="1"/>
  <c r="G53" i="6"/>
  <c r="L53" i="6" s="1"/>
  <c r="G54" i="6"/>
  <c r="L54" i="6" s="1"/>
  <c r="G55" i="6"/>
  <c r="L55" i="6" s="1"/>
  <c r="G56" i="6"/>
  <c r="L56" i="6" s="1"/>
  <c r="G57" i="6"/>
  <c r="L57" i="6" s="1"/>
  <c r="G58" i="6"/>
  <c r="L58" i="6" s="1"/>
  <c r="G59" i="6"/>
  <c r="L59" i="6" s="1"/>
  <c r="G60" i="6"/>
  <c r="L60" i="6" s="1"/>
  <c r="G61" i="6"/>
  <c r="L61" i="6" s="1"/>
  <c r="G62" i="6"/>
  <c r="L62" i="6" s="1"/>
  <c r="G63" i="6"/>
  <c r="L63" i="6" s="1"/>
  <c r="G64" i="6"/>
  <c r="L64" i="6" s="1"/>
  <c r="G65" i="6"/>
  <c r="L65" i="6" s="1"/>
  <c r="G66" i="6"/>
  <c r="L66" i="6" s="1"/>
  <c r="G67" i="6"/>
  <c r="L67" i="6" s="1"/>
  <c r="G68" i="6"/>
  <c r="L68" i="6" s="1"/>
  <c r="G69" i="6"/>
  <c r="L69" i="6" s="1"/>
  <c r="G70" i="6"/>
  <c r="L70" i="6" s="1"/>
  <c r="G71" i="6"/>
  <c r="L71" i="6" s="1"/>
  <c r="G72" i="6"/>
  <c r="L72" i="6" s="1"/>
  <c r="G73" i="6"/>
  <c r="L73" i="6" s="1"/>
  <c r="G74" i="6"/>
  <c r="L74" i="6" s="1"/>
  <c r="G75" i="6"/>
  <c r="L75" i="6" s="1"/>
  <c r="G76" i="6"/>
  <c r="L76" i="6" s="1"/>
  <c r="G77" i="6"/>
  <c r="L77" i="6" s="1"/>
  <c r="G78" i="6"/>
  <c r="L78" i="6" s="1"/>
  <c r="G79" i="6"/>
  <c r="L79" i="6" s="1"/>
  <c r="G80" i="6"/>
  <c r="L80" i="6" s="1"/>
  <c r="G81" i="6"/>
  <c r="L81" i="6" s="1"/>
  <c r="G82" i="6"/>
  <c r="L82" i="6" s="1"/>
  <c r="G83" i="6"/>
  <c r="L83" i="6" s="1"/>
  <c r="G84" i="6"/>
  <c r="L84" i="6" s="1"/>
  <c r="G85" i="6"/>
  <c r="L85" i="6" s="1"/>
  <c r="G86" i="6"/>
  <c r="L86" i="6" s="1"/>
  <c r="G87" i="6"/>
  <c r="L87" i="6" s="1"/>
  <c r="G88" i="6"/>
  <c r="L88" i="6" s="1"/>
  <c r="G89" i="6"/>
  <c r="L89" i="6" s="1"/>
  <c r="G90" i="6"/>
  <c r="L90" i="6" s="1"/>
  <c r="G91" i="6"/>
  <c r="L91" i="6" s="1"/>
  <c r="G92" i="6"/>
  <c r="L92" i="6" s="1"/>
  <c r="G93" i="6"/>
  <c r="L93" i="6" s="1"/>
  <c r="G94" i="6"/>
  <c r="L94" i="6" s="1"/>
  <c r="G95" i="6"/>
  <c r="L95" i="6" s="1"/>
  <c r="G96" i="6"/>
  <c r="L96" i="6" s="1"/>
  <c r="G97" i="6"/>
  <c r="L97" i="6" s="1"/>
  <c r="G98" i="6"/>
  <c r="L98" i="6" s="1"/>
  <c r="G5" i="6"/>
  <c r="L5" i="6" s="1"/>
  <c r="E17" i="12"/>
  <c r="G17" i="12" s="1"/>
  <c r="M21" i="12"/>
  <c r="O21" i="12" s="1"/>
  <c r="M20" i="12"/>
  <c r="O20" i="12" s="1"/>
  <c r="M19" i="12"/>
  <c r="O19" i="12" s="1"/>
  <c r="M18" i="12"/>
  <c r="O18" i="12" s="1"/>
  <c r="M17" i="12"/>
  <c r="O17" i="12" s="1"/>
  <c r="M32" i="12"/>
  <c r="O32" i="12" s="1"/>
  <c r="M31" i="12"/>
  <c r="O31" i="12" s="1"/>
  <c r="M30" i="12"/>
  <c r="O30" i="12" s="1"/>
  <c r="M29" i="12"/>
  <c r="O29" i="12" s="1"/>
  <c r="M28" i="12"/>
  <c r="O28" i="12" s="1"/>
  <c r="E32" i="12"/>
  <c r="G32" i="12" s="1"/>
  <c r="E31" i="12"/>
  <c r="G31" i="12" s="1"/>
  <c r="E30" i="12"/>
  <c r="G30" i="12" s="1"/>
  <c r="E29" i="12"/>
  <c r="G29" i="12" s="1"/>
  <c r="E28" i="12"/>
  <c r="G28" i="12" s="1"/>
  <c r="G18" i="12"/>
  <c r="G19" i="12"/>
  <c r="E20" i="12"/>
  <c r="G20" i="12" s="1"/>
  <c r="E21" i="12"/>
  <c r="G21" i="12" s="1"/>
  <c r="J20" i="15"/>
  <c r="K21" i="15"/>
  <c r="K19" i="15"/>
  <c r="K20" i="15"/>
  <c r="J21" i="15"/>
  <c r="F62" i="14" l="1"/>
  <c r="D61" i="14"/>
  <c r="D62" i="14"/>
  <c r="D60" i="14"/>
  <c r="M33" i="16"/>
  <c r="M74" i="16"/>
  <c r="L33" i="16"/>
  <c r="L74" i="16"/>
  <c r="K33" i="16"/>
  <c r="K74" i="16"/>
  <c r="J33" i="16"/>
  <c r="J74" i="16"/>
  <c r="K31" i="16"/>
  <c r="K72" i="16"/>
  <c r="J31" i="16"/>
  <c r="J72" i="16"/>
  <c r="M29" i="16"/>
  <c r="M66" i="16"/>
  <c r="L29" i="16"/>
  <c r="L66" i="16"/>
  <c r="K29" i="16"/>
  <c r="K66" i="16"/>
  <c r="J29" i="16"/>
  <c r="J66" i="16"/>
  <c r="C8" i="14"/>
  <c r="C21" i="14"/>
  <c r="C27" i="14" s="1"/>
  <c r="E21" i="14"/>
  <c r="E27" i="14" s="1"/>
  <c r="C15" i="14"/>
  <c r="L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J17" i="4"/>
  <c r="J25" i="4" s="1"/>
  <c r="K17" i="4"/>
  <c r="K25" i="4" s="1"/>
  <c r="I17" i="4"/>
  <c r="I25" i="4" s="1"/>
  <c r="J11" i="4"/>
  <c r="J24" i="4" s="1"/>
  <c r="K11" i="4"/>
  <c r="K24" i="4" s="1"/>
  <c r="I11" i="4"/>
  <c r="I24" i="4" s="1"/>
  <c r="D10" i="10" l="1"/>
  <c r="J36" i="6"/>
  <c r="M36" i="6" s="1"/>
  <c r="J6" i="6"/>
  <c r="U6" i="6" s="1"/>
  <c r="J7" i="6"/>
  <c r="J8" i="6"/>
  <c r="M8" i="6" s="1"/>
  <c r="J9" i="6"/>
  <c r="J10" i="6"/>
  <c r="M10" i="6" s="1"/>
  <c r="J11" i="6"/>
  <c r="M11" i="6" s="1"/>
  <c r="J12" i="6"/>
  <c r="M12" i="6" s="1"/>
  <c r="J13" i="6"/>
  <c r="M13" i="6" s="1"/>
  <c r="J14" i="6"/>
  <c r="M14" i="6" s="1"/>
  <c r="J15" i="6"/>
  <c r="M15" i="6" s="1"/>
  <c r="J16" i="6"/>
  <c r="M16" i="6" s="1"/>
  <c r="J17" i="6"/>
  <c r="M17" i="6" s="1"/>
  <c r="J18" i="6"/>
  <c r="M18" i="6" s="1"/>
  <c r="J19" i="6"/>
  <c r="M19" i="6" s="1"/>
  <c r="J20" i="6"/>
  <c r="M20" i="6" s="1"/>
  <c r="J21" i="6"/>
  <c r="M21" i="6" s="1"/>
  <c r="J22" i="6"/>
  <c r="M22" i="6" s="1"/>
  <c r="J23" i="6"/>
  <c r="M23" i="6" s="1"/>
  <c r="J24" i="6"/>
  <c r="M24" i="6" s="1"/>
  <c r="J25" i="6"/>
  <c r="M25" i="6" s="1"/>
  <c r="J26" i="6"/>
  <c r="M26" i="6" s="1"/>
  <c r="J27" i="6"/>
  <c r="M27" i="6" s="1"/>
  <c r="J28" i="6"/>
  <c r="M28" i="6" s="1"/>
  <c r="J29" i="6"/>
  <c r="M29" i="6" s="1"/>
  <c r="J30" i="6"/>
  <c r="M30" i="6" s="1"/>
  <c r="J31" i="6"/>
  <c r="M31" i="6" s="1"/>
  <c r="J32" i="6"/>
  <c r="M32" i="6" s="1"/>
  <c r="J33" i="6"/>
  <c r="M33" i="6" s="1"/>
  <c r="J34" i="6"/>
  <c r="M34" i="6" s="1"/>
  <c r="J35" i="6"/>
  <c r="M35" i="6" s="1"/>
  <c r="J37" i="6"/>
  <c r="M37" i="6" s="1"/>
  <c r="J38" i="6"/>
  <c r="M38" i="6" s="1"/>
  <c r="J39" i="6"/>
  <c r="M39" i="6" s="1"/>
  <c r="J40" i="6"/>
  <c r="M40" i="6" s="1"/>
  <c r="J41" i="6"/>
  <c r="M41" i="6" s="1"/>
  <c r="J42" i="6"/>
  <c r="M42" i="6" s="1"/>
  <c r="J43" i="6"/>
  <c r="M43" i="6" s="1"/>
  <c r="J44" i="6"/>
  <c r="M44" i="6" s="1"/>
  <c r="J45" i="6"/>
  <c r="M45" i="6" s="1"/>
  <c r="J46" i="6"/>
  <c r="M46" i="6" s="1"/>
  <c r="J47" i="6"/>
  <c r="M47" i="6" s="1"/>
  <c r="J48" i="6"/>
  <c r="M48" i="6" s="1"/>
  <c r="J49" i="6"/>
  <c r="M49" i="6" s="1"/>
  <c r="J50" i="6"/>
  <c r="M50" i="6" s="1"/>
  <c r="J51" i="6"/>
  <c r="M51" i="6" s="1"/>
  <c r="J52" i="6"/>
  <c r="M52" i="6" s="1"/>
  <c r="J97" i="6"/>
  <c r="M97" i="6" s="1"/>
  <c r="J87" i="6"/>
  <c r="M87" i="6" s="1"/>
  <c r="J90" i="6"/>
  <c r="M90" i="6" s="1"/>
  <c r="J89" i="6"/>
  <c r="M89" i="6" s="1"/>
  <c r="J92" i="6"/>
  <c r="M92" i="6" s="1"/>
  <c r="J93" i="6"/>
  <c r="M93" i="6" s="1"/>
  <c r="J94" i="6"/>
  <c r="M94" i="6" s="1"/>
  <c r="J53" i="6"/>
  <c r="J91" i="6"/>
  <c r="M91" i="6" s="1"/>
  <c r="J86" i="6"/>
  <c r="M86" i="6" s="1"/>
  <c r="J57" i="6"/>
  <c r="M57" i="6" s="1"/>
  <c r="J95" i="6"/>
  <c r="M95" i="6" s="1"/>
  <c r="J96" i="6"/>
  <c r="M96" i="6" s="1"/>
  <c r="J59" i="6"/>
  <c r="M59" i="6" s="1"/>
  <c r="J55" i="6"/>
  <c r="M55" i="6" s="1"/>
  <c r="J60" i="6"/>
  <c r="M60" i="6" s="1"/>
  <c r="J61" i="6"/>
  <c r="M61" i="6" s="1"/>
  <c r="J58" i="6"/>
  <c r="M58" i="6" s="1"/>
  <c r="J56" i="6"/>
  <c r="M56" i="6" s="1"/>
  <c r="J62" i="6"/>
  <c r="M62" i="6" s="1"/>
  <c r="J88" i="6"/>
  <c r="M88" i="6" s="1"/>
  <c r="J68" i="6"/>
  <c r="M68" i="6" s="1"/>
  <c r="J69" i="6"/>
  <c r="M69" i="6" s="1"/>
  <c r="J74" i="6"/>
  <c r="M74" i="6" s="1"/>
  <c r="J73" i="6"/>
  <c r="M73" i="6" s="1"/>
  <c r="J72" i="6"/>
  <c r="M72" i="6" s="1"/>
  <c r="J71" i="6"/>
  <c r="M71" i="6" s="1"/>
  <c r="J98" i="6"/>
  <c r="M98" i="6" s="1"/>
  <c r="J75" i="6"/>
  <c r="M75" i="6" s="1"/>
  <c r="J77" i="6"/>
  <c r="M77" i="6" s="1"/>
  <c r="J80" i="6"/>
  <c r="M80" i="6" s="1"/>
  <c r="J78" i="6"/>
  <c r="M78" i="6" s="1"/>
  <c r="J79" i="6"/>
  <c r="M79" i="6" s="1"/>
  <c r="J82" i="6"/>
  <c r="M82" i="6" s="1"/>
  <c r="J81" i="6"/>
  <c r="M81" i="6" s="1"/>
  <c r="J83" i="6"/>
  <c r="M83" i="6" s="1"/>
  <c r="J84" i="6"/>
  <c r="M84" i="6" s="1"/>
  <c r="J85" i="6"/>
  <c r="M85" i="6" s="1"/>
  <c r="J65" i="6"/>
  <c r="M65" i="6" s="1"/>
  <c r="J67" i="6"/>
  <c r="M67" i="6" s="1"/>
  <c r="J54" i="6"/>
  <c r="J63" i="6"/>
  <c r="M63" i="6" s="1"/>
  <c r="J64" i="6"/>
  <c r="M64" i="6" s="1"/>
  <c r="J66" i="6"/>
  <c r="M66" i="6" s="1"/>
  <c r="J70" i="6"/>
  <c r="M70" i="6" s="1"/>
  <c r="J76" i="6"/>
  <c r="M76" i="6" s="1"/>
  <c r="U14" i="6" l="1" a="1"/>
  <c r="U14" i="6" s="1"/>
  <c r="D37" i="12" s="1"/>
  <c r="D50" i="12" s="1"/>
  <c r="U12" i="6" a="1"/>
  <c r="U12" i="6" s="1"/>
  <c r="U20" i="6" a="1"/>
  <c r="U20" i="6" s="1"/>
  <c r="E14" i="14" s="1"/>
  <c r="U18" i="6" a="1"/>
  <c r="U18" i="6" s="1"/>
  <c r="C14" i="14" s="1"/>
  <c r="U16" i="6" a="1"/>
  <c r="U16" i="6" s="1"/>
  <c r="U19" i="6" a="1"/>
  <c r="U19" i="6" s="1"/>
  <c r="E7" i="14" s="1"/>
  <c r="U17" i="6" a="1"/>
  <c r="U17" i="6" s="1"/>
  <c r="C7" i="14" s="1"/>
  <c r="U15" i="6" a="1"/>
  <c r="U15" i="6" s="1"/>
  <c r="U11" i="6" a="1"/>
  <c r="U11" i="6" s="1"/>
  <c r="U13" i="6" a="1"/>
  <c r="U13" i="6" s="1"/>
  <c r="C37" i="12" s="1"/>
  <c r="C50" i="12" s="1"/>
  <c r="M7" i="6"/>
  <c r="M54" i="6"/>
  <c r="M53" i="6"/>
  <c r="U7" i="6"/>
  <c r="E37" i="12" s="1"/>
  <c r="E50" i="12" s="1"/>
  <c r="M5" i="6"/>
  <c r="M9" i="6"/>
  <c r="M6" i="6"/>
  <c r="U9" i="6"/>
  <c r="U8" i="6"/>
  <c r="F37" i="12" s="1"/>
  <c r="F50" i="12" s="1"/>
  <c r="U10" i="6"/>
  <c r="U5" i="6"/>
  <c r="D7" i="14" l="1"/>
  <c r="D17" i="4" a="1"/>
  <c r="D17" i="4" s="1"/>
  <c r="I39" i="4" s="1"/>
  <c r="D14" i="14"/>
  <c r="D40" i="1"/>
  <c r="D16" i="4" l="1"/>
  <c r="L16" i="4" s="1"/>
  <c r="D21" i="8" l="1"/>
  <c r="D22" i="8" s="1"/>
  <c r="D31" i="8" s="1"/>
  <c r="D33" i="8"/>
  <c r="D20" i="8"/>
  <c r="M35" i="4"/>
  <c r="U35" i="4"/>
  <c r="AC35" i="4"/>
  <c r="V35" i="4"/>
  <c r="AD35" i="4"/>
  <c r="L35" i="4"/>
  <c r="W35" i="4"/>
  <c r="AE35" i="4"/>
  <c r="D13" i="4"/>
  <c r="P35" i="4"/>
  <c r="AF35" i="4"/>
  <c r="AG35" i="4"/>
  <c r="Z35" i="4"/>
  <c r="N35" i="4"/>
  <c r="X35" i="4"/>
  <c r="Q35" i="4"/>
  <c r="O35" i="4"/>
  <c r="Y35" i="4"/>
  <c r="R35" i="4"/>
  <c r="AH35" i="4"/>
  <c r="T35" i="4"/>
  <c r="AB35" i="4"/>
  <c r="AJ35" i="4"/>
  <c r="S35" i="4"/>
  <c r="AA35" i="4"/>
  <c r="AI35" i="4"/>
  <c r="D14" i="4"/>
  <c r="D26" i="8"/>
  <c r="M13" i="4" l="1"/>
  <c r="U13" i="4"/>
  <c r="AC13" i="4"/>
  <c r="P13" i="4"/>
  <c r="X13" i="4"/>
  <c r="AH13" i="4"/>
  <c r="AA13" i="4"/>
  <c r="N13" i="4"/>
  <c r="V13" i="4"/>
  <c r="AD13" i="4"/>
  <c r="AG13" i="4"/>
  <c r="Z13" i="4"/>
  <c r="S13" i="4"/>
  <c r="O13" i="4"/>
  <c r="W13" i="4"/>
  <c r="AE13" i="4"/>
  <c r="L13" i="4"/>
  <c r="AF13" i="4"/>
  <c r="Q13" i="4"/>
  <c r="R13" i="4"/>
  <c r="T13" i="4"/>
  <c r="AB13" i="4"/>
  <c r="AJ13" i="4"/>
  <c r="Y13" i="4"/>
  <c r="AI13" i="4"/>
  <c r="M14" i="4"/>
  <c r="U14" i="4"/>
  <c r="AC14" i="4"/>
  <c r="X14" i="4"/>
  <c r="AI14" i="4"/>
  <c r="N14" i="4"/>
  <c r="V14" i="4"/>
  <c r="AD14" i="4"/>
  <c r="L14" i="4"/>
  <c r="Y14" i="4"/>
  <c r="AH14" i="4"/>
  <c r="AA14" i="4"/>
  <c r="O14" i="4"/>
  <c r="W14" i="4"/>
  <c r="AE14" i="4"/>
  <c r="AF14" i="4"/>
  <c r="AG14" i="4"/>
  <c r="R14" i="4"/>
  <c r="S14" i="4"/>
  <c r="T14" i="4"/>
  <c r="AB14" i="4"/>
  <c r="AJ14" i="4"/>
  <c r="P14" i="4"/>
  <c r="Q14" i="4"/>
  <c r="Z14" i="4"/>
  <c r="AJ16" i="4"/>
  <c r="AF16" i="4"/>
  <c r="M16" i="4"/>
  <c r="Z16" i="4"/>
  <c r="N16" i="4"/>
  <c r="AC16" i="4"/>
  <c r="AH16" i="4"/>
  <c r="U16" i="4"/>
  <c r="X16" i="4"/>
  <c r="AG16" i="4"/>
  <c r="R16" i="4"/>
  <c r="O16" i="4"/>
  <c r="Q16" i="4"/>
  <c r="S16" i="4"/>
  <c r="V16" i="4"/>
  <c r="AE16" i="4"/>
  <c r="T16" i="4"/>
  <c r="W16" i="4"/>
  <c r="P16" i="4"/>
  <c r="AB16" i="4"/>
  <c r="AD16" i="4"/>
  <c r="Y16" i="4"/>
  <c r="AI16" i="4"/>
  <c r="AA16" i="4"/>
  <c r="D10" i="4"/>
  <c r="J9" i="4" s="1"/>
  <c r="D15" i="4"/>
  <c r="L15" i="4" s="1"/>
  <c r="D32" i="8"/>
  <c r="M37" i="4" l="1"/>
  <c r="U37" i="4"/>
  <c r="AC37" i="4"/>
  <c r="L37" i="4"/>
  <c r="AD37" i="4"/>
  <c r="AE37" i="4"/>
  <c r="AF37" i="4"/>
  <c r="Y37" i="4"/>
  <c r="Z37" i="4"/>
  <c r="N37" i="4"/>
  <c r="V37" i="4"/>
  <c r="X37" i="4"/>
  <c r="O37" i="4"/>
  <c r="W37" i="4"/>
  <c r="AG37" i="4"/>
  <c r="AH37" i="4"/>
  <c r="S37" i="4"/>
  <c r="AA37" i="4"/>
  <c r="AI37" i="4"/>
  <c r="T37" i="4"/>
  <c r="AB37" i="4"/>
  <c r="AJ37" i="4"/>
  <c r="P37" i="4"/>
  <c r="Q37" i="4"/>
  <c r="R37" i="4"/>
  <c r="M15" i="4"/>
  <c r="U15" i="4"/>
  <c r="AC15" i="4"/>
  <c r="Q15" i="4"/>
  <c r="R15" i="4"/>
  <c r="N15" i="4"/>
  <c r="V15" i="4"/>
  <c r="AD15" i="4"/>
  <c r="X15" i="4"/>
  <c r="AG15" i="4"/>
  <c r="AH15" i="4"/>
  <c r="AI15" i="4"/>
  <c r="O15" i="4"/>
  <c r="W15" i="4"/>
  <c r="AE15" i="4"/>
  <c r="P15" i="4"/>
  <c r="Z15" i="4"/>
  <c r="AA15" i="4"/>
  <c r="T15" i="4"/>
  <c r="AB15" i="4"/>
  <c r="AJ15" i="4"/>
  <c r="AF15" i="4"/>
  <c r="Y15" i="4"/>
  <c r="S15" i="4"/>
  <c r="D11" i="4"/>
  <c r="I9" i="4"/>
  <c r="K9" i="4"/>
  <c r="K33" i="4" s="1"/>
  <c r="J33" i="4"/>
  <c r="D12" i="4"/>
  <c r="C52" i="4" l="1"/>
  <c r="D18" i="4"/>
  <c r="I33" i="4"/>
  <c r="L28" i="4"/>
  <c r="C9" i="9"/>
  <c r="M12" i="4"/>
  <c r="U12" i="4"/>
  <c r="AC12" i="4"/>
  <c r="AC11" i="4" s="1"/>
  <c r="X12" i="4"/>
  <c r="Y12" i="4"/>
  <c r="AH12" i="4"/>
  <c r="AH11" i="4" s="1"/>
  <c r="S12" i="4"/>
  <c r="N12" i="4"/>
  <c r="V12" i="4"/>
  <c r="AD12" i="4"/>
  <c r="AD11" i="4" s="1"/>
  <c r="AG12" i="4"/>
  <c r="AG11" i="4" s="1"/>
  <c r="Z12" i="4"/>
  <c r="O12" i="4"/>
  <c r="W12" i="4"/>
  <c r="AE12" i="4"/>
  <c r="AE11" i="4" s="1"/>
  <c r="P12" i="4"/>
  <c r="L12" i="4"/>
  <c r="AI12" i="4"/>
  <c r="AI11" i="4" s="1"/>
  <c r="T12" i="4"/>
  <c r="AB12" i="4"/>
  <c r="AB11" i="4" s="1"/>
  <c r="AJ12" i="4"/>
  <c r="AJ11" i="4" s="1"/>
  <c r="AF12" i="4"/>
  <c r="AF11" i="4" s="1"/>
  <c r="Q12" i="4"/>
  <c r="R12" i="4"/>
  <c r="AA12" i="4"/>
  <c r="AA11" i="4" s="1"/>
  <c r="AG17" i="4"/>
  <c r="AI17" i="4"/>
  <c r="AJ17" i="4"/>
  <c r="AH17" i="4"/>
  <c r="AF17" i="4"/>
  <c r="C6" i="9"/>
  <c r="C11" i="9" s="1"/>
  <c r="AG28" i="4" l="1"/>
  <c r="AF28" i="4"/>
  <c r="O28" i="4"/>
  <c r="R28" i="4"/>
  <c r="AJ28" i="4"/>
  <c r="AI28" i="4"/>
  <c r="AE28" i="4"/>
  <c r="S28" i="4"/>
  <c r="U28" i="4"/>
  <c r="N28" i="4"/>
  <c r="V28" i="4"/>
  <c r="W28" i="4"/>
  <c r="T28" i="4"/>
  <c r="AC28" i="4"/>
  <c r="Q28" i="4"/>
  <c r="AA28" i="4"/>
  <c r="AD28" i="4"/>
  <c r="X28" i="4"/>
  <c r="AH28" i="4"/>
  <c r="M28" i="4"/>
  <c r="Y28" i="4"/>
  <c r="Z28" i="4"/>
  <c r="AB28" i="4"/>
  <c r="P28" i="4"/>
  <c r="C28" i="4"/>
  <c r="C30" i="4"/>
  <c r="C29" i="9"/>
  <c r="C23" i="9"/>
  <c r="L17" i="4"/>
  <c r="L25" i="4" s="1"/>
  <c r="S17" i="4"/>
  <c r="S25" i="4" s="1"/>
  <c r="AB17" i="4"/>
  <c r="AB25" i="4" s="1"/>
  <c r="X17" i="4"/>
  <c r="X25" i="4" s="1"/>
  <c r="W17" i="4"/>
  <c r="W25" i="4" s="1"/>
  <c r="Z17" i="4"/>
  <c r="Z25" i="4" s="1"/>
  <c r="Q17" i="4"/>
  <c r="Q25" i="4" s="1"/>
  <c r="T17" i="4"/>
  <c r="T25" i="4" s="1"/>
  <c r="Y17" i="4"/>
  <c r="Y25" i="4" s="1"/>
  <c r="R17" i="4"/>
  <c r="R25" i="4" s="1"/>
  <c r="M17" i="4"/>
  <c r="M25" i="4" s="1"/>
  <c r="AA17" i="4"/>
  <c r="AA25" i="4" s="1"/>
  <c r="AE17" i="4"/>
  <c r="AE25" i="4" s="1"/>
  <c r="V17" i="4"/>
  <c r="V25" i="4" s="1"/>
  <c r="O17" i="4"/>
  <c r="O25" i="4" s="1"/>
  <c r="N17" i="4"/>
  <c r="N25" i="4" s="1"/>
  <c r="AC17" i="4"/>
  <c r="AC25" i="4" s="1"/>
  <c r="AD17" i="4"/>
  <c r="AD25" i="4" s="1"/>
  <c r="P17" i="4"/>
  <c r="P25" i="4" s="1"/>
  <c r="U17" i="4"/>
  <c r="U25" i="4" s="1"/>
  <c r="AG25" i="4"/>
  <c r="AJ25" i="4"/>
  <c r="AI25" i="4"/>
  <c r="AH25" i="4"/>
  <c r="AF25" i="4"/>
  <c r="AG24" i="4"/>
  <c r="AG33" i="4"/>
  <c r="AB24" i="4"/>
  <c r="AB33" i="4"/>
  <c r="AJ24" i="4"/>
  <c r="AJ33" i="4"/>
  <c r="AH24" i="4"/>
  <c r="AH33" i="4"/>
  <c r="AC24" i="4"/>
  <c r="AC33" i="4"/>
  <c r="AD24" i="4"/>
  <c r="AD33" i="4"/>
  <c r="AE24" i="4"/>
  <c r="AE33" i="4"/>
  <c r="AF24" i="4"/>
  <c r="AF33" i="4"/>
  <c r="AI24" i="4"/>
  <c r="AI33" i="4"/>
  <c r="AA24" i="4"/>
  <c r="AA33" i="4"/>
  <c r="C27" i="4"/>
  <c r="C29" i="4"/>
  <c r="C57" i="4" l="1"/>
  <c r="AJ23" i="4"/>
  <c r="AJ27" i="4" s="1"/>
  <c r="AJ26" i="4" s="1"/>
  <c r="AJ30" i="4" s="1"/>
  <c r="AJ31" i="4" s="1"/>
  <c r="AJ29" i="4" s="1"/>
  <c r="AJ32" i="4" s="1"/>
  <c r="AI23" i="4"/>
  <c r="AI27" i="4" s="1"/>
  <c r="AI26" i="4" s="1"/>
  <c r="AI30" i="4" s="1"/>
  <c r="AI31" i="4" s="1"/>
  <c r="AI29" i="4" s="1"/>
  <c r="AI32" i="4" s="1"/>
  <c r="AG23" i="4"/>
  <c r="AG27" i="4" s="1"/>
  <c r="AG26" i="4" s="1"/>
  <c r="AG30" i="4" s="1"/>
  <c r="AG31" i="4" s="1"/>
  <c r="AG29" i="4" s="1"/>
  <c r="AG32" i="4" s="1"/>
  <c r="AH23" i="4"/>
  <c r="AH27" i="4" s="1"/>
  <c r="AH26" i="4" s="1"/>
  <c r="AH30" i="4" s="1"/>
  <c r="AH31" i="4" s="1"/>
  <c r="AH29" i="4" s="1"/>
  <c r="AH32" i="4" s="1"/>
  <c r="AB23" i="4"/>
  <c r="AB27" i="4" s="1"/>
  <c r="AB26" i="4" s="1"/>
  <c r="AB30" i="4" s="1"/>
  <c r="AB31" i="4" s="1"/>
  <c r="AB29" i="4" s="1"/>
  <c r="AB32" i="4" s="1"/>
  <c r="AF23" i="4"/>
  <c r="AF27" i="4" s="1"/>
  <c r="AF26" i="4" s="1"/>
  <c r="AF30" i="4" s="1"/>
  <c r="AF31" i="4" s="1"/>
  <c r="AF29" i="4" s="1"/>
  <c r="AF32" i="4" s="1"/>
  <c r="AD23" i="4"/>
  <c r="AD27" i="4" s="1"/>
  <c r="AD26" i="4" s="1"/>
  <c r="AD30" i="4" s="1"/>
  <c r="AD31" i="4" s="1"/>
  <c r="AD29" i="4" s="1"/>
  <c r="AD32" i="4" s="1"/>
  <c r="AA23" i="4"/>
  <c r="AA27" i="4" s="1"/>
  <c r="AA26" i="4" s="1"/>
  <c r="AA30" i="4" s="1"/>
  <c r="AA31" i="4" s="1"/>
  <c r="AA29" i="4" s="1"/>
  <c r="AA32" i="4" s="1"/>
  <c r="AC23" i="4"/>
  <c r="AC27" i="4" s="1"/>
  <c r="AC26" i="4" s="1"/>
  <c r="AC30" i="4" s="1"/>
  <c r="AC31" i="4" s="1"/>
  <c r="AC29" i="4" s="1"/>
  <c r="AC32" i="4" s="1"/>
  <c r="AE23" i="4"/>
  <c r="AE27" i="4" s="1"/>
  <c r="AE26" i="4" s="1"/>
  <c r="AE30" i="4" s="1"/>
  <c r="AE31" i="4" s="1"/>
  <c r="AE29" i="4" s="1"/>
  <c r="AE32" i="4" s="1"/>
  <c r="C26" i="4" l="1"/>
  <c r="U11" i="4" l="1"/>
  <c r="U33" i="4" l="1"/>
  <c r="U24" i="4"/>
  <c r="U23" i="4" s="1"/>
  <c r="W11" i="4"/>
  <c r="Z11" i="4"/>
  <c r="N11" i="4"/>
  <c r="O11" i="4"/>
  <c r="S11" i="4"/>
  <c r="X11" i="4"/>
  <c r="T11" i="4"/>
  <c r="Q11" i="4"/>
  <c r="R11" i="4"/>
  <c r="V11" i="4"/>
  <c r="Y11" i="4"/>
  <c r="M11" i="4"/>
  <c r="P11" i="4"/>
  <c r="P33" i="4" l="1"/>
  <c r="P24" i="4"/>
  <c r="P23" i="4" s="1"/>
  <c r="S33" i="4"/>
  <c r="S24" i="4"/>
  <c r="S23" i="4" s="1"/>
  <c r="M33" i="4"/>
  <c r="M24" i="4"/>
  <c r="M23" i="4" s="1"/>
  <c r="O33" i="4"/>
  <c r="O24" i="4"/>
  <c r="O23" i="4" s="1"/>
  <c r="Y33" i="4"/>
  <c r="Y24" i="4"/>
  <c r="Y23" i="4" s="1"/>
  <c r="N24" i="4"/>
  <c r="N23" i="4" s="1"/>
  <c r="N33" i="4"/>
  <c r="V24" i="4"/>
  <c r="V23" i="4" s="1"/>
  <c r="V33" i="4"/>
  <c r="Z33" i="4"/>
  <c r="Z24" i="4"/>
  <c r="Z23" i="4" s="1"/>
  <c r="R24" i="4"/>
  <c r="R23" i="4" s="1"/>
  <c r="R33" i="4"/>
  <c r="W33" i="4"/>
  <c r="W24" i="4"/>
  <c r="W23" i="4" s="1"/>
  <c r="Q24" i="4"/>
  <c r="Q23" i="4" s="1"/>
  <c r="Q33" i="4"/>
  <c r="L11" i="4"/>
  <c r="C10" i="9" s="1"/>
  <c r="C13" i="9" s="1"/>
  <c r="T33" i="4"/>
  <c r="T24" i="4"/>
  <c r="T23" i="4" s="1"/>
  <c r="U27" i="4"/>
  <c r="U26" i="4" s="1"/>
  <c r="U30" i="4" s="1"/>
  <c r="U31" i="4" s="1"/>
  <c r="U29" i="4" s="1"/>
  <c r="U32" i="4" s="1"/>
  <c r="X33" i="4"/>
  <c r="X24" i="4"/>
  <c r="X23" i="4" s="1"/>
  <c r="C15" i="9" l="1"/>
  <c r="I10" i="4" s="1"/>
  <c r="I8" i="4" s="1"/>
  <c r="Z27" i="4"/>
  <c r="Z26" i="4" s="1"/>
  <c r="Z30" i="4" s="1"/>
  <c r="Z31" i="4" s="1"/>
  <c r="Z29" i="4" s="1"/>
  <c r="Z32" i="4" s="1"/>
  <c r="O27" i="4"/>
  <c r="O26" i="4" s="1"/>
  <c r="O30" i="4" s="1"/>
  <c r="O31" i="4" s="1"/>
  <c r="O29" i="4" s="1"/>
  <c r="O32" i="4" s="1"/>
  <c r="L24" i="4"/>
  <c r="L23" i="4" s="1"/>
  <c r="L33" i="4"/>
  <c r="X27" i="4"/>
  <c r="X26" i="4" s="1"/>
  <c r="X30" i="4" s="1"/>
  <c r="X31" i="4" s="1"/>
  <c r="X29" i="4" s="1"/>
  <c r="X32" i="4" s="1"/>
  <c r="M27" i="4"/>
  <c r="M26" i="4" s="1"/>
  <c r="M30" i="4" s="1"/>
  <c r="M31" i="4" s="1"/>
  <c r="M29" i="4" s="1"/>
  <c r="M32" i="4" s="1"/>
  <c r="Q27" i="4"/>
  <c r="Q26" i="4" s="1"/>
  <c r="Q30" i="4" s="1"/>
  <c r="Q31" i="4" s="1"/>
  <c r="Q29" i="4" s="1"/>
  <c r="Q32" i="4" s="1"/>
  <c r="V27" i="4"/>
  <c r="V26" i="4" s="1"/>
  <c r="V30" i="4" s="1"/>
  <c r="V31" i="4" s="1"/>
  <c r="V29" i="4" s="1"/>
  <c r="V32" i="4" s="1"/>
  <c r="W27" i="4"/>
  <c r="W26" i="4" s="1"/>
  <c r="W30" i="4" s="1"/>
  <c r="W31" i="4" s="1"/>
  <c r="W29" i="4" s="1"/>
  <c r="W32" i="4" s="1"/>
  <c r="S27" i="4"/>
  <c r="S26" i="4" s="1"/>
  <c r="S30" i="4" s="1"/>
  <c r="S31" i="4" s="1"/>
  <c r="S29" i="4" s="1"/>
  <c r="S32" i="4" s="1"/>
  <c r="N27" i="4"/>
  <c r="N26" i="4" s="1"/>
  <c r="N30" i="4" s="1"/>
  <c r="N31" i="4" s="1"/>
  <c r="N29" i="4" s="1"/>
  <c r="N32" i="4" s="1"/>
  <c r="T27" i="4"/>
  <c r="T26" i="4" s="1"/>
  <c r="T30" i="4" s="1"/>
  <c r="T31" i="4" s="1"/>
  <c r="T29" i="4" s="1"/>
  <c r="T32" i="4" s="1"/>
  <c r="Y27" i="4"/>
  <c r="Y26" i="4" s="1"/>
  <c r="Y30" i="4" s="1"/>
  <c r="Y31" i="4" s="1"/>
  <c r="Y29" i="4" s="1"/>
  <c r="Y32" i="4" s="1"/>
  <c r="P27" i="4"/>
  <c r="P26" i="4" s="1"/>
  <c r="P30" i="4" s="1"/>
  <c r="P31" i="4" s="1"/>
  <c r="P29" i="4" s="1"/>
  <c r="P32" i="4" s="1"/>
  <c r="R27" i="4"/>
  <c r="R26" i="4" s="1"/>
  <c r="R30" i="4" s="1"/>
  <c r="R31" i="4" s="1"/>
  <c r="R29" i="4" s="1"/>
  <c r="R32" i="4" s="1"/>
  <c r="J10" i="4" l="1"/>
  <c r="J8" i="4" s="1"/>
  <c r="K10" i="4"/>
  <c r="K8" i="4" s="1"/>
  <c r="K23" i="4" s="1"/>
  <c r="K27" i="4" s="1"/>
  <c r="K26" i="4" s="1"/>
  <c r="K30" i="4" s="1"/>
  <c r="K31" i="4" s="1"/>
  <c r="K29" i="4" s="1"/>
  <c r="K32" i="4" s="1"/>
  <c r="C48" i="4"/>
  <c r="C53" i="4" s="1"/>
  <c r="I23" i="4"/>
  <c r="I27" i="4" s="1"/>
  <c r="I26" i="4" s="1"/>
  <c r="I30" i="4" s="1"/>
  <c r="I31" i="4" s="1"/>
  <c r="I29" i="4" s="1"/>
  <c r="I32" i="4" s="1"/>
  <c r="L27" i="4"/>
  <c r="L26" i="4" s="1"/>
  <c r="L30" i="4" s="1"/>
  <c r="L31" i="4" s="1"/>
  <c r="L29" i="4" s="1"/>
  <c r="L32" i="4" s="1"/>
  <c r="C25" i="4" l="1"/>
  <c r="C16" i="9"/>
  <c r="C55" i="4" s="1"/>
  <c r="D30" i="4"/>
  <c r="J23" i="4"/>
  <c r="J27" i="4" s="1"/>
  <c r="J26" i="4" s="1"/>
  <c r="J30" i="4" s="1"/>
  <c r="J31" i="4" s="1"/>
  <c r="J29" i="4" s="1"/>
  <c r="J32" i="4" s="1"/>
  <c r="C31" i="4"/>
  <c r="D27" i="4"/>
  <c r="D28" i="4"/>
  <c r="D26" i="4"/>
  <c r="D29" i="4"/>
  <c r="C56" i="4" l="1"/>
  <c r="C49" i="4"/>
  <c r="C54" i="4" s="1"/>
  <c r="D25" i="4"/>
  <c r="D3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<sst xmlns="http://schemas.openxmlformats.org/spreadsheetml/2006/main" count="6411" uniqueCount="842">
  <si>
    <t>Plant Parameters</t>
  </si>
  <si>
    <t>Parameter</t>
  </si>
  <si>
    <t>Unit</t>
  </si>
  <si>
    <t>Value</t>
  </si>
  <si>
    <t>Source</t>
  </si>
  <si>
    <t>Clinker Production</t>
  </si>
  <si>
    <t>Operation</t>
  </si>
  <si>
    <t>days</t>
  </si>
  <si>
    <t>CEMCAP</t>
  </si>
  <si>
    <t>Annual clinker production</t>
  </si>
  <si>
    <t>tons/year</t>
  </si>
  <si>
    <t>Plant Capacity</t>
  </si>
  <si>
    <t>%</t>
  </si>
  <si>
    <t>Calculated</t>
  </si>
  <si>
    <t>Specific CO2 emissions</t>
  </si>
  <si>
    <t>tClk/day</t>
  </si>
  <si>
    <t>tCO2/tClk</t>
  </si>
  <si>
    <t>Plant Emissions</t>
  </si>
  <si>
    <t xml:space="preserve">tCO2 </t>
  </si>
  <si>
    <t>Capture Performance</t>
  </si>
  <si>
    <t>Capture Rate</t>
  </si>
  <si>
    <t>CEMCAP, Davila-Gallego</t>
  </si>
  <si>
    <t>CO2 captured</t>
  </si>
  <si>
    <t>tCO2</t>
  </si>
  <si>
    <t>Capture Technology Energy Demand</t>
  </si>
  <si>
    <t>Reboiler duty</t>
  </si>
  <si>
    <t>Power demand MEA</t>
  </si>
  <si>
    <t>Amine Make-up</t>
  </si>
  <si>
    <t>Steam Generation from Waste heat</t>
  </si>
  <si>
    <t>Steam Generation from Natural Gas boiler</t>
  </si>
  <si>
    <t>CEMCAP, 4.6</t>
  </si>
  <si>
    <t>Total Steam from Waste Heat</t>
  </si>
  <si>
    <t>Total Steam from Natural Gas</t>
  </si>
  <si>
    <t>Extra Electricity</t>
  </si>
  <si>
    <t>Natural Gas Fuel Energy</t>
  </si>
  <si>
    <t>Extra Electricity Demand</t>
  </si>
  <si>
    <t>MWh</t>
  </si>
  <si>
    <t>MWh/year</t>
  </si>
  <si>
    <t>Variable Opex</t>
  </si>
  <si>
    <t>Euro/kWh</t>
  </si>
  <si>
    <t>https://ec.europa.eu/eurostat/statistics-explained/index.php?title=Electricity_price_statistics#Electricity_prices_for_non-household_consumers</t>
  </si>
  <si>
    <t>https://ec.europa.eu/eurostat/databrowser/view/nrg_pc_203__custom_20285923/default/table</t>
  </si>
  <si>
    <t>Fixed Opex</t>
  </si>
  <si>
    <t>CAPEX</t>
  </si>
  <si>
    <t>Eur/tCO2</t>
  </si>
  <si>
    <t>Specific Capture Performance</t>
  </si>
  <si>
    <t>tCO2/h</t>
  </si>
  <si>
    <t>mEur/tCO2/h</t>
  </si>
  <si>
    <t>Euros</t>
  </si>
  <si>
    <t>mEuros</t>
  </si>
  <si>
    <t>kg/tCO2</t>
  </si>
  <si>
    <t>DEA</t>
  </si>
  <si>
    <t>MWh/tCO2</t>
  </si>
  <si>
    <t>DEA, Includes Amine and other smaller consumables as well as waste disposal.</t>
  </si>
  <si>
    <t>mEuros/year</t>
  </si>
  <si>
    <t>kgCO2/kWh</t>
  </si>
  <si>
    <t>https://en.energinet.dk/media/nkmdwnwb/co2-emission-factor.pdf</t>
  </si>
  <si>
    <t>https://www.eea.europa.eu/en/analysis/indicators/greenhouse-gas-emission-intensity-of-1</t>
  </si>
  <si>
    <t>Transport and Storage</t>
  </si>
  <si>
    <t>tCO2e/tCO2</t>
  </si>
  <si>
    <t>https://norlights.com/wp-content/uploads/2023/11/Report-Carbon-footprint-of-the-Northern-Lights-JV-co2-transport-and-storage-value-chain.pdf</t>
  </si>
  <si>
    <t>Financial Parameters</t>
  </si>
  <si>
    <t>Lifetime</t>
  </si>
  <si>
    <t>WACC</t>
  </si>
  <si>
    <t>Construction Time</t>
  </si>
  <si>
    <t>years</t>
  </si>
  <si>
    <t>Year</t>
  </si>
  <si>
    <t>Year Number</t>
  </si>
  <si>
    <t>CAPEX Split</t>
  </si>
  <si>
    <t>40-30-30</t>
  </si>
  <si>
    <t>Electricity</t>
  </si>
  <si>
    <t>NPV CO2 avoided</t>
  </si>
  <si>
    <t>Denmark</t>
  </si>
  <si>
    <t>Germany</t>
  </si>
  <si>
    <t>Transport and Storage Costs</t>
  </si>
  <si>
    <t>Pipeline?</t>
  </si>
  <si>
    <t xml:space="preserve">Country </t>
  </si>
  <si>
    <t xml:space="preserve">Location </t>
  </si>
  <si>
    <t>Aalborg</t>
  </si>
  <si>
    <t>Yes</t>
  </si>
  <si>
    <t>No</t>
  </si>
  <si>
    <t>Kalkwerke Rüdersdorf</t>
  </si>
  <si>
    <t>Zementwerk Karsdorf</t>
  </si>
  <si>
    <t>Zementwerk Rüdersdorf</t>
  </si>
  <si>
    <t>Zementwerk Bernburg</t>
  </si>
  <si>
    <t>Fels KH NSO 1-5 Oberharz am Brocken</t>
  </si>
  <si>
    <t>Fels KR NSO 1-8 Oberharz am Brocken</t>
  </si>
  <si>
    <t>Fels KK GGR 6 Oberharz am Brocken</t>
  </si>
  <si>
    <t>Zementwerk Dotternhausen</t>
  </si>
  <si>
    <t>Kalkwerk Seesen</t>
  </si>
  <si>
    <t>Zementwerk Burglengenfeld</t>
  </si>
  <si>
    <t>Zementwerk Solnhofen</t>
  </si>
  <si>
    <t>Zementwerk Sehnde</t>
  </si>
  <si>
    <t>Zementwerk Hannover</t>
  </si>
  <si>
    <t>Kalkwerke Blaustein</t>
  </si>
  <si>
    <t>Kalkwerke Harburg</t>
  </si>
  <si>
    <t>Zementwerk Schelklingen</t>
  </si>
  <si>
    <t>Zementwerk Allmendingen</t>
  </si>
  <si>
    <t>Zementwerk Heidenheim an der Brenz</t>
  </si>
  <si>
    <t>Zementwerk Harburg</t>
  </si>
  <si>
    <t>Zementwerk Walzbachtal</t>
  </si>
  <si>
    <t>Zementwerk Niederorschel</t>
  </si>
  <si>
    <t>Zementwerk Großenlüder</t>
  </si>
  <si>
    <t>Zementwerk Göllheim</t>
  </si>
  <si>
    <t>Zementwerk Rohrdorf</t>
  </si>
  <si>
    <t>Brennanlage Runkel</t>
  </si>
  <si>
    <t>Kalkwerk Hahnstätten</t>
  </si>
  <si>
    <t>Zementwerk Paderborn</t>
  </si>
  <si>
    <t>Drehofen 11 Lägerdorf</t>
  </si>
  <si>
    <t>Zementwerk Geseke</t>
  </si>
  <si>
    <t>Zementwerk Erwitte</t>
  </si>
  <si>
    <t>Zementwerk Üxheim</t>
  </si>
  <si>
    <t>Zementwerk Beckum</t>
  </si>
  <si>
    <t>Zementwerk Enningerloh</t>
  </si>
  <si>
    <t>Kalkwerk Lienen</t>
  </si>
  <si>
    <t>Brennen von Kalkstein Menden</t>
  </si>
  <si>
    <t>Zementherstellung Lengerich</t>
  </si>
  <si>
    <t>Kalksteinbrennöfen Wuppertal</t>
  </si>
  <si>
    <t>Kalkwerk Wülfrath</t>
  </si>
  <si>
    <t>Kalkwerke Regensburg</t>
  </si>
  <si>
    <t>Kalkwerke Saal a. d. Donau</t>
  </si>
  <si>
    <t>Lhoist Istein</t>
  </si>
  <si>
    <t>Zementwerk Karlstadt</t>
  </si>
  <si>
    <t>Zementwerk Triefenstein</t>
  </si>
  <si>
    <t>Zementwerk Leimen</t>
  </si>
  <si>
    <t xml:space="preserve">Zementwerk Wiesbaden </t>
  </si>
  <si>
    <t xml:space="preserve">Kalkwerk Warstein </t>
  </si>
  <si>
    <t>P25</t>
  </si>
  <si>
    <t>Steam Demand</t>
  </si>
  <si>
    <t>Energy System Inputs</t>
  </si>
  <si>
    <t>Germany Natural Gas Price</t>
  </si>
  <si>
    <t>Germany Electricity Price</t>
  </si>
  <si>
    <t>Denmark Grid Emission Factor</t>
  </si>
  <si>
    <t>Germany Grid Emission Factor</t>
  </si>
  <si>
    <t>Natural Gas Emission Factor</t>
  </si>
  <si>
    <t>Cost Inputs</t>
  </si>
  <si>
    <t>Capex</t>
  </si>
  <si>
    <t>Capex without liquefication</t>
  </si>
  <si>
    <t>DEA, 3% of Capex</t>
  </si>
  <si>
    <t>Transport and Storage emission factor</t>
  </si>
  <si>
    <t>Transport and Storage Inputs</t>
  </si>
  <si>
    <t>CEMCAP, Split over 3 years</t>
  </si>
  <si>
    <t>Country</t>
  </si>
  <si>
    <t>Pipeline</t>
  </si>
  <si>
    <t>P50</t>
  </si>
  <si>
    <t>P75</t>
  </si>
  <si>
    <t>Scenario Control</t>
  </si>
  <si>
    <t>Paramater</t>
  </si>
  <si>
    <t>Selection</t>
  </si>
  <si>
    <t>T&amp;S percentile</t>
  </si>
  <si>
    <t>Additional Emissions</t>
  </si>
  <si>
    <t>Additional Emissons Transport and Storage</t>
  </si>
  <si>
    <t>Annualized Capex</t>
  </si>
  <si>
    <t>CRF</t>
  </si>
  <si>
    <t>Pipeline allowed</t>
  </si>
  <si>
    <t>Euros/tCO2</t>
  </si>
  <si>
    <t>Pipeline disallowed</t>
  </si>
  <si>
    <t>Inflation Factor</t>
  </si>
  <si>
    <t>Captured Emissions</t>
  </si>
  <si>
    <t>Cost of CO2 avoided</t>
  </si>
  <si>
    <t xml:space="preserve">Transport and Storage </t>
  </si>
  <si>
    <t>NPV Full CCS Value Chain</t>
  </si>
  <si>
    <t>NPV Captured CO2</t>
  </si>
  <si>
    <t>CCS Cost Parameters</t>
  </si>
  <si>
    <t>Euro/tCO2 avoided</t>
  </si>
  <si>
    <t>Cost per t/CO2 in 2024</t>
  </si>
  <si>
    <t>Cost per t/CO2 in 2025</t>
  </si>
  <si>
    <t>Total</t>
  </si>
  <si>
    <t>T&amp;S costs</t>
  </si>
  <si>
    <t>Pipeline Allowed</t>
  </si>
  <si>
    <t>Pipeline Disallowed</t>
  </si>
  <si>
    <t>Row Labels</t>
  </si>
  <si>
    <t>Grand Total</t>
  </si>
  <si>
    <t>Sum of Cost per t/CO2 in 2025</t>
  </si>
  <si>
    <t>T&amp;S cost</t>
  </si>
  <si>
    <t>T&amp;S</t>
  </si>
  <si>
    <t>EU ETS 2025</t>
  </si>
  <si>
    <t>EU ETS 2025 low</t>
  </si>
  <si>
    <t>EU ETS 2025 high</t>
  </si>
  <si>
    <t>EU ETS 2030 projection</t>
  </si>
  <si>
    <t>PV OPEX</t>
  </si>
  <si>
    <t>PV ETS</t>
  </si>
  <si>
    <t>Number of Periods</t>
  </si>
  <si>
    <t>Relevant Costs</t>
  </si>
  <si>
    <t xml:space="preserve">Project Coverage </t>
  </si>
  <si>
    <t>Cashflow ETS Revenue</t>
  </si>
  <si>
    <t>Residual Cost Gap CO2 avoided</t>
  </si>
  <si>
    <t>Coverage</t>
  </si>
  <si>
    <t>Results</t>
  </si>
  <si>
    <t>Duration</t>
  </si>
  <si>
    <t>T&amp;S Subsidy</t>
  </si>
  <si>
    <t>Baseline</t>
  </si>
  <si>
    <t>Transport</t>
  </si>
  <si>
    <t xml:space="preserve">ETS </t>
  </si>
  <si>
    <t>T&amp;S Cost</t>
  </si>
  <si>
    <t>CCfD</t>
  </si>
  <si>
    <t>T&amp;S support</t>
  </si>
  <si>
    <t>Euros/tonCO2</t>
  </si>
  <si>
    <t>Residual Gap</t>
  </si>
  <si>
    <t>More information</t>
  </si>
  <si>
    <t/>
  </si>
  <si>
    <t>EEX Emissions market / Primary Market Auction</t>
  </si>
  <si>
    <t>References</t>
  </si>
  <si>
    <t>Prices</t>
  </si>
  <si>
    <t>Volumes</t>
  </si>
  <si>
    <t>Participants</t>
  </si>
  <si>
    <t>Revenue</t>
  </si>
  <si>
    <t>Date</t>
  </si>
  <si>
    <t>Time</t>
  </si>
  <si>
    <t>Auction Name</t>
  </si>
  <si>
    <t>Contract</t>
  </si>
  <si>
    <t>Status</t>
  </si>
  <si>
    <t>Auction Price €/tCO2</t>
  </si>
  <si>
    <t>Minimum Bid €/tCO2</t>
  </si>
  <si>
    <t>Maximum Bid €/tCO2</t>
  </si>
  <si>
    <t>Mean €/tCO2</t>
  </si>
  <si>
    <t>Median €/tCO2</t>
  </si>
  <si>
    <t>Auction Volume tCO2</t>
  </si>
  <si>
    <t>Total Amount of Bids</t>
  </si>
  <si>
    <t>Number of bids submitted</t>
  </si>
  <si>
    <t>Number of successful bids</t>
  </si>
  <si>
    <t>Average number of bids per bidder</t>
  </si>
  <si>
    <t>Average bid size</t>
  </si>
  <si>
    <t>Average volume bid per bidder</t>
  </si>
  <si>
    <t>Standard deviation of bid volume per bidder</t>
  </si>
  <si>
    <t>Average volume won per bidder</t>
  </si>
  <si>
    <t>Standard deviation of volume won per bidder</t>
  </si>
  <si>
    <t>Cover Ratio</t>
  </si>
  <si>
    <t>Total Number of Bidders</t>
  </si>
  <si>
    <t>Number of Successful Bidders</t>
  </si>
  <si>
    <t>Total Revenue €</t>
  </si>
  <si>
    <t>Austria
(AT)</t>
  </si>
  <si>
    <t>Belgium
(BE)</t>
  </si>
  <si>
    <t>Bulgaria
(BG)</t>
  </si>
  <si>
    <t>Cyprus
(CY)</t>
  </si>
  <si>
    <t>Czech Republic
(CZ)</t>
  </si>
  <si>
    <t>Germany
(DE)</t>
  </si>
  <si>
    <t>Denmark
(DK)</t>
  </si>
  <si>
    <t>Estonia
(EE)</t>
  </si>
  <si>
    <t>Greece
(EL)</t>
  </si>
  <si>
    <t>Spain
(ES)</t>
  </si>
  <si>
    <t>Finland
(FI)</t>
  </si>
  <si>
    <t>France
(FR)</t>
  </si>
  <si>
    <t>Croatia
(HR)</t>
  </si>
  <si>
    <t>Hungary
(HU)</t>
  </si>
  <si>
    <t>Ireland
(IE)</t>
  </si>
  <si>
    <t>Innovation Fund
(IF)</t>
  </si>
  <si>
    <t>Iceland
(IS)</t>
  </si>
  <si>
    <t>Italy
(IT)</t>
  </si>
  <si>
    <t>InnoFund RRF
(IX)</t>
  </si>
  <si>
    <t>Liechtenstein
(LI)</t>
  </si>
  <si>
    <t>Lithuania
(LT)</t>
  </si>
  <si>
    <t>Luxembourg
(LU)</t>
  </si>
  <si>
    <t>Latvia
(LV)</t>
  </si>
  <si>
    <t>Modernisation Fund
(MF)</t>
  </si>
  <si>
    <t>Malta
(MT)</t>
  </si>
  <si>
    <t>MS RRF
(MX)</t>
  </si>
  <si>
    <t>Netherlands
(NL)</t>
  </si>
  <si>
    <t>Norway
(NO)</t>
  </si>
  <si>
    <t>Poland
(PL)</t>
  </si>
  <si>
    <t>Portugal
(PT)</t>
  </si>
  <si>
    <t>Romania
(RO)</t>
  </si>
  <si>
    <t>Sweden
(SE)</t>
  </si>
  <si>
    <t>Social Climate Fund
(SF)</t>
  </si>
  <si>
    <t>Slovenia
(SI)</t>
  </si>
  <si>
    <t>Slovakia
(SK)</t>
  </si>
  <si>
    <t>Northern Ireland
(XI)</t>
  </si>
  <si>
    <t>Auction 4. Period CAP3 EU</t>
  </si>
  <si>
    <t>T3PA</t>
  </si>
  <si>
    <t>successful</t>
  </si>
  <si>
    <t>EU</t>
  </si>
  <si>
    <t>Auction 4. Period DE</t>
  </si>
  <si>
    <t>DE</t>
  </si>
  <si>
    <t>Auction 4. Period CAP3 PL</t>
  </si>
  <si>
    <t>PL</t>
  </si>
  <si>
    <t>Auction 4. Period CAP3 NIR</t>
  </si>
  <si>
    <t>XI</t>
  </si>
  <si>
    <t>Germany Scenario - Pipeline Allowed</t>
  </si>
  <si>
    <t>Policy Cost</t>
  </si>
  <si>
    <t>CCfD Strike price</t>
  </si>
  <si>
    <t>T&amp;S Sensitivity</t>
  </si>
  <si>
    <t>Denmark Scenario - Pipeline Allowed</t>
  </si>
  <si>
    <t>Germany Scenario - Pipeline Disallowed</t>
  </si>
  <si>
    <t>Denmark Scenario - Pipeline Disallowed</t>
  </si>
  <si>
    <t>Investment grant</t>
  </si>
  <si>
    <t>Investment Grant</t>
  </si>
  <si>
    <t>Operational Expenditures</t>
  </si>
  <si>
    <t>Capital Expenditures</t>
  </si>
  <si>
    <t>Variable Opex - Steam</t>
  </si>
  <si>
    <t>Variable Opex - Electricity</t>
  </si>
  <si>
    <t>Variable Opex - General and Amine Makeup</t>
  </si>
  <si>
    <t>CCS Value Chain Cashflow</t>
  </si>
  <si>
    <t>EBITDA</t>
  </si>
  <si>
    <t>Depreciation</t>
  </si>
  <si>
    <t>Straight Line</t>
  </si>
  <si>
    <t>EBIT</t>
  </si>
  <si>
    <t>Taxes</t>
  </si>
  <si>
    <t>Germany Tax Rate</t>
  </si>
  <si>
    <t>https://kpmg.com/dk/en/services/tax/corporate-tax/corporate-tax-rates-table.html</t>
  </si>
  <si>
    <t>Denmark Tax Rate</t>
  </si>
  <si>
    <t>Taxable Income</t>
  </si>
  <si>
    <t>FCFF</t>
  </si>
  <si>
    <t>NPV FCFF</t>
  </si>
  <si>
    <t>CCfD Subsidy Germany</t>
  </si>
  <si>
    <t>CCfD Subsidy Denmark</t>
  </si>
  <si>
    <t>Support per ton</t>
  </si>
  <si>
    <t>NPV T&amp;S Subsidy</t>
  </si>
  <si>
    <t>NPV CCfD</t>
  </si>
  <si>
    <t xml:space="preserve">Euros. </t>
  </si>
  <si>
    <t>NPV Investment Grant</t>
  </si>
  <si>
    <t>ETS Price</t>
  </si>
  <si>
    <t>Needed ETS price</t>
  </si>
  <si>
    <t>Needed ETS Price</t>
  </si>
  <si>
    <t>Gap Closed (€/t)</t>
  </si>
  <si>
    <t>Gap reduction in %</t>
  </si>
  <si>
    <t>Mode of Transport</t>
  </si>
  <si>
    <t>Transport Hub</t>
  </si>
  <si>
    <t>Rail</t>
  </si>
  <si>
    <t>Rotterdam</t>
  </si>
  <si>
    <t>Barge</t>
  </si>
  <si>
    <t>Ravenna</t>
  </si>
  <si>
    <t>Ruby</t>
  </si>
  <si>
    <t>South</t>
  </si>
  <si>
    <t>North</t>
  </si>
  <si>
    <t>Esbjerg</t>
  </si>
  <si>
    <t>Storage Type</t>
  </si>
  <si>
    <t>Sector Germany</t>
  </si>
  <si>
    <t>Storage Cost</t>
  </si>
  <si>
    <t>Transport Cost</t>
  </si>
  <si>
    <t>Conditioning Cost</t>
  </si>
  <si>
    <t>Cost Separation</t>
  </si>
  <si>
    <t>Average of Transport Cost</t>
  </si>
  <si>
    <t>Required Support Levels for NPV = 0 - single instruments</t>
  </si>
  <si>
    <t>Actual T&amp;S Cost</t>
  </si>
  <si>
    <t>ETS price</t>
  </si>
  <si>
    <t>DE pipeline</t>
  </si>
  <si>
    <t>DE no pipeline</t>
  </si>
  <si>
    <t>DK pipeline</t>
  </si>
  <si>
    <t>DK no pipeline</t>
  </si>
  <si>
    <t>Required Support Levels for NPV = 0 - combined instruments</t>
  </si>
  <si>
    <t>Germany – Pipeline Allowed (DE)</t>
  </si>
  <si>
    <t>Low</t>
  </si>
  <si>
    <t>High</t>
  </si>
  <si>
    <t>Germany Pipeline</t>
  </si>
  <si>
    <t>Germany No Pipeline</t>
  </si>
  <si>
    <t>Denmark No Pipeline</t>
  </si>
  <si>
    <t>Gas Price in €/kwh</t>
  </si>
  <si>
    <t>Electricity Price in €/kwh</t>
  </si>
  <si>
    <t>Denmark Pipeline</t>
  </si>
  <si>
    <t>Germany - Pipeline</t>
  </si>
  <si>
    <t>Germany - No Pipeline</t>
  </si>
  <si>
    <t>Denmark - Pipeline</t>
  </si>
  <si>
    <t>Denmark - No Pipeline</t>
  </si>
  <si>
    <t>Average of Cost per t/CO2 in 2025</t>
  </si>
  <si>
    <t>Average of Conditioning Cost</t>
  </si>
  <si>
    <t>Average of Storage Cost</t>
  </si>
  <si>
    <t>T&amp;S subsidy</t>
  </si>
  <si>
    <t>Yearly Operational Benefits</t>
  </si>
  <si>
    <t>Danish CO2 Tax 2025</t>
  </si>
  <si>
    <t>Danish CO2 Tax 2026</t>
  </si>
  <si>
    <t>Danish CO2 Tax 2027</t>
  </si>
  <si>
    <t>Danish CO2 Tax 2028</t>
  </si>
  <si>
    <t>Danish CO2 Tax 2029</t>
  </si>
  <si>
    <t>Danish CO2 Tax 2030 onwards</t>
  </si>
  <si>
    <t>Danish CO2 tax, inflated to 2025</t>
  </si>
  <si>
    <t>Euro/ton</t>
  </si>
  <si>
    <t xml:space="preserve">Danish CO2 tax, inflated to 2025, using the danish inflation calculator (https://www.dst.dk/en/Statistik/laer-om-statistik/prisberegner) </t>
  </si>
  <si>
    <t>https://www.ecb.europa.eu/stats/policy_and_exchange_rates/euro_reference_exchange_rates/html/eurofxref-graph-dkk.en.html</t>
  </si>
  <si>
    <t>DKK - EUR Exchange rate 2025 average</t>
  </si>
  <si>
    <t>CO2 Tax Savings</t>
  </si>
  <si>
    <t>Residual Gap - without tax</t>
  </si>
  <si>
    <t>Residual Gap - with tax</t>
  </si>
  <si>
    <t>Tax impact</t>
  </si>
  <si>
    <t>Cost of CO2 avoided - without tax</t>
  </si>
  <si>
    <t>Cost of CO2 avoided - with tax</t>
  </si>
  <si>
    <t>Denmark Scenario - No Pipeline Allowed</t>
  </si>
  <si>
    <t>Gas</t>
  </si>
  <si>
    <t>P0</t>
  </si>
  <si>
    <t>P100</t>
  </si>
  <si>
    <t>Danish CO2 Tax (only applies to Denmark)</t>
  </si>
  <si>
    <t>T&amp;S Support</t>
  </si>
  <si>
    <t>Grant + CCfD</t>
  </si>
  <si>
    <t>CCfD + T&amp;S Support</t>
  </si>
  <si>
    <t>Taxes paid</t>
  </si>
  <si>
    <t>IEA World Energy Outlook</t>
  </si>
  <si>
    <t>Danish CO2 Tax</t>
  </si>
  <si>
    <t>HIGH ETS Sensitivity - residual cost gap - Germany pipeline</t>
  </si>
  <si>
    <t>HIGH ETS Sensitivity - residual cost gap - Denmark pipeline</t>
  </si>
  <si>
    <t>Denmark Electricity Price</t>
  </si>
  <si>
    <t>Denmark – Pipeline Allowed (DK)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</si>
  <si>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</si>
  <si>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</si>
  <si>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</si>
  <si>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</si>
  <si>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</si>
  <si>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</si>
  <si>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</si>
  <si>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</si>
  <si>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</si>
  <si>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</si>
  <si>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</si>
  <si>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</si>
  <si>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</si>
  <si>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</si>
  <si>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</si>
  <si>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</si>
  <si>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</si>
  <si>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</si>
  <si>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</si>
  <si>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</si>
  <si>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</si>
  <si>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</si>
  <si>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</si>
  <si>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</si>
  <si>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</si>
  <si>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</si>
  <si>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</si>
  <si>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</si>
  <si>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</si>
  <si>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</si>
  <si>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</si>
  <si>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</si>
  <si>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</si>
  <si>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</si>
  <si>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</si>
  <si>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</si>
  <si>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</si>
  <si>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</si>
  <si>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</si>
  <si>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</si>
  <si>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</si>
  <si>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</si>
  <si>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</si>
  <si>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</si>
  <si>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</si>
  <si>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</si>
  <si>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</si>
  <si>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</si>
  <si>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</si>
  <si>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</si>
  <si>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</si>
  <si>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</si>
  <si>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</si>
  <si>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</si>
  <si>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</si>
  <si>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</si>
  <si>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</si>
  <si>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</si>
  <si>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</si>
  <si>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</si>
  <si>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</si>
  <si>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</si>
  <si>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</si>
  <si>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</si>
  <si>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</si>
  <si>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</si>
  <si>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</si>
  <si>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</si>
  <si>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</si>
  <si>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</si>
  <si>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</si>
  <si>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</si>
  <si>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</si>
  <si>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</si>
  <si>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</si>
  <si>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</si>
  <si>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</si>
  <si>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</si>
  <si>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</si>
  <si>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</si>
  <si>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</si>
  <si>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</si>
  <si>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</si>
  <si>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</si>
  <si>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</si>
  <si>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</si>
  <si>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</si>
  <si>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</si>
  <si>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</si>
  <si>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</si>
  <si>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</si>
  <si>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</si>
  <si>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</si>
  <si>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</si>
  <si>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</si>
  <si>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</si>
  <si>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</si>
  <si>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</si>
  <si>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</si>
  <si>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</si>
  <si>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</si>
  <si>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</si>
  <si>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</si>
  <si>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</si>
  <si>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</si>
  <si>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</si>
  <si>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</si>
  <si>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</si>
  <si>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</si>
  <si>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</si>
  <si>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</si>
  <si>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</si>
  <si>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</si>
  <si>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</si>
  <si>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</si>
  <si>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</si>
  <si>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</si>
  <si>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</si>
  <si>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</si>
  <si>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</si>
  <si>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</si>
  <si>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</si>
  <si>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</si>
  <si>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</si>
  <si>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</si>
  <si>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</si>
  <si>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</si>
  <si>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</si>
  <si>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</si>
  <si>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</si>
  <si>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</si>
  <si>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</si>
  <si>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</si>
  <si>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</si>
  <si>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</si>
  <si>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</si>
  <si>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</si>
  <si>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</si>
  <si>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</si>
  <si>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</si>
  <si>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</si>
  <si>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</si>
  <si>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</si>
  <si>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</si>
  <si>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</si>
  <si>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</si>
  <si>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</si>
  <si>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</si>
  <si>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</si>
  <si>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</si>
  <si>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</si>
  <si>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</si>
  <si>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</si>
  <si>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</si>
  <si>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</si>
  <si>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</si>
  <si>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</si>
  <si>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</si>
  <si>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</si>
  <si>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</si>
  <si>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</si>
  <si>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</si>
  <si>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</si>
  <si>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</si>
  <si>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</si>
  <si>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</si>
  <si>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</si>
  <si>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</si>
  <si>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</si>
  <si>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</si>
  <si>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</si>
  <si>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</si>
  <si>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</si>
  <si>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</si>
  <si>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</si>
  <si>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</si>
  <si>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</si>
  <si>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</si>
  <si>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</si>
  <si>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</si>
  <si>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</si>
  <si>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</si>
  <si>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</si>
  <si>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</si>
  <si>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</si>
  <si>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</si>
  <si>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</si>
  <si>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</si>
  <si>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</si>
  <si>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</si>
  <si>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</si>
  <si>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</si>
  <si>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</si>
  <si>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</si>
  <si>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</si>
  <si>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</si>
  <si>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</si>
  <si>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</si>
  <si>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</si>
  <si>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</si>
  <si>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</si>
  <si>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</si>
  <si>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</si>
  <si>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</si>
  <si>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</si>
  <si>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</si>
  <si>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</si>
  <si>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</si>
  <si>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</si>
  <si>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</si>
  <si>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</si>
  <si>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</si>
  <si>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</si>
  <si>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</si>
  <si>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</si>
  <si>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</si>
  <si>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</si>
  <si>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</si>
  <si>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</si>
  <si>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</si>
  <si>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</si>
  <si>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</si>
  <si>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</si>
  <si>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</si>
  <si>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</si>
  <si>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</si>
  <si>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</si>
  <si>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</si>
  <si>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</si>
  <si>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</si>
  <si>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</si>
  <si>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</si>
  <si>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</si>
  <si>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</si>
  <si>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</si>
  <si>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</si>
  <si>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</si>
  <si>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</si>
  <si>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</si>
  <si>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</si>
  <si>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</si>
  <si>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Percentage change compared to same month the year before (per cent)</t>
  </si>
  <si>
    <t>00 Consumer price index, total</t>
  </si>
  <si>
    <t>Consumer price index: Germany, years</t>
  </si>
  <si>
    <t>Consumer price index for Germany</t>
  </si>
  <si>
    <t>Consumer price index</t>
  </si>
  <si>
    <t>Annual change</t>
  </si>
  <si>
    <t>2020=100</t>
  </si>
  <si>
    <t>in (%)</t>
  </si>
  <si>
    <t>1991</t>
  </si>
  <si>
    <t>e</t>
  </si>
  <si>
    <t>.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</si>
  <si>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</si>
  <si>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</si>
  <si>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</si>
  <si>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</si>
  <si>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</si>
  <si>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</si>
  <si>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</si>
  <si>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</si>
  <si>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</si>
  <si>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</si>
  <si>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</si>
  <si>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</si>
  <si>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</si>
  <si>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</si>
  <si>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</si>
  <si>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</si>
  <si>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</si>
  <si>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</si>
  <si>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</si>
  <si>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</si>
  <si>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</si>
  <si>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</si>
  <si>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</si>
  <si>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</si>
  <si>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</si>
  <si>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</si>
  <si>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</si>
  <si>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</si>
  <si>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</si>
  <si>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</si>
  <si>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</si>
  <si>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</si>
  <si>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</si>
  <si>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</si>
  <si>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______________</t>
  </si>
  <si>
    <t>© Statistisches Bundesamt (Destatis), 2026 | created: 2026-05-11 / 14:40:40</t>
  </si>
  <si>
    <t>Average Inflation Germany 2016-2025</t>
  </si>
  <si>
    <t>Average Inflation Denmark 2016-2025</t>
  </si>
  <si>
    <t>Combined Inflation Denmark and Gerrmany 2016-2025</t>
  </si>
  <si>
    <t>Real WACC</t>
  </si>
  <si>
    <t>Thesis Inflation Rate</t>
  </si>
  <si>
    <t>Nominal WACC</t>
  </si>
  <si>
    <t>Inflation Rate</t>
  </si>
  <si>
    <t>CATF</t>
  </si>
  <si>
    <t>Cemcap</t>
  </si>
  <si>
    <t>Inflation Factor Danish CO2 Tax</t>
  </si>
  <si>
    <t>Cost of Policies Total</t>
  </si>
  <si>
    <t>Public cost of grant</t>
  </si>
  <si>
    <t>Public cost of CCfD</t>
  </si>
  <si>
    <t>Public cost of T&amp;S support</t>
  </si>
  <si>
    <t>Cashflow CCfD Denmark</t>
  </si>
  <si>
    <t>Cashflow CCfD Germany</t>
  </si>
  <si>
    <t>Strike - 124€/t</t>
  </si>
  <si>
    <t>Above Strike - 130€/t</t>
  </si>
  <si>
    <t>Above Strike- 130€/t</t>
  </si>
  <si>
    <t>Located at storage hub</t>
  </si>
  <si>
    <t>(All)</t>
  </si>
  <si>
    <t>Germany – No Pipeline Allowed (DE)</t>
  </si>
  <si>
    <t>Denmark CCfD</t>
  </si>
  <si>
    <t>Denmark CCfD, 15 years</t>
  </si>
  <si>
    <t>Denmark CCfD, 15 years, No Indexation</t>
  </si>
  <si>
    <t>Germany CCfD</t>
  </si>
  <si>
    <t>Required implied payment</t>
  </si>
  <si>
    <t>CCfD Decomposition Pipeline scenario</t>
  </si>
  <si>
    <t>Avoided Emissions - Capture</t>
  </si>
  <si>
    <t xml:space="preserve">Avoided Emissions - Full Chain </t>
  </si>
  <si>
    <t>Clinker/Cement Factor</t>
  </si>
  <si>
    <t xml:space="preserve">Total cement production </t>
  </si>
  <si>
    <t>Cement emission factor - capture</t>
  </si>
  <si>
    <t>Cement emission factor - full chain</t>
  </si>
  <si>
    <t>Germany pipeline uplift</t>
  </si>
  <si>
    <t>Germany no pipeline uplift</t>
  </si>
  <si>
    <t>Denmark pipeline uplift</t>
  </si>
  <si>
    <t>Germany capture uplift</t>
  </si>
  <si>
    <t>Denmark capture uplift</t>
  </si>
  <si>
    <t>Gallego Davila Production Price 2021</t>
  </si>
  <si>
    <t>Germany PPI</t>
  </si>
  <si>
    <t>Europe PPI</t>
  </si>
  <si>
    <t>Germany Production Price 2024</t>
  </si>
  <si>
    <t>Germany Price per quantity</t>
  </si>
  <si>
    <t>Denmark Price per quantity</t>
  </si>
  <si>
    <t>Germany pipeline P + CCS</t>
  </si>
  <si>
    <t>Germany no pipeline P + CCS</t>
  </si>
  <si>
    <t>Denmark pipeline P + CCS</t>
  </si>
  <si>
    <t>Germany capture P+CCS</t>
  </si>
  <si>
    <t>Denmark capture P+CCS</t>
  </si>
  <si>
    <t>Premium to current price</t>
  </si>
  <si>
    <t>Premium to Production Price</t>
  </si>
  <si>
    <t>CCfD Gap Composition</t>
  </si>
  <si>
    <t>Segments</t>
  </si>
  <si>
    <t>Germany Sold Quantity in tons 2024</t>
  </si>
  <si>
    <t>Germany Sold Value 2024</t>
  </si>
  <si>
    <t>Denmark Sold Quantity in tons 2024</t>
  </si>
  <si>
    <t>Denmark Sold Value 2024</t>
  </si>
  <si>
    <t>Denmark pipeline P + CCS to German Price</t>
  </si>
  <si>
    <t xml:space="preserve">Emission Spot Primary Market Auction Report 2025, Median </t>
  </si>
  <si>
    <t>ETS Overview</t>
  </si>
  <si>
    <t>Parameters</t>
  </si>
  <si>
    <t>Chnages in Percentages</t>
  </si>
  <si>
    <t>North - South Split</t>
  </si>
  <si>
    <t>Heatmaps</t>
  </si>
  <si>
    <t>Germany - T&amp;S Cost (rows) vs Gas Price (columns)</t>
  </si>
  <si>
    <t>Denmark - Gas Price (rows) vs WACC (columns)</t>
  </si>
  <si>
    <t>Baseline - 72.16€/t</t>
  </si>
  <si>
    <t>Full Chain Avoided Emissions</t>
  </si>
  <si>
    <t>Plant-level Avoided Emissions</t>
  </si>
  <si>
    <t>Denmark Natural Gas Price</t>
  </si>
  <si>
    <t>Boiler efficiency</t>
  </si>
  <si>
    <t>Additional Emissions Electricity</t>
  </si>
  <si>
    <t>Additional Emissions Steam</t>
  </si>
  <si>
    <t>Denmark Production Price 2024</t>
  </si>
  <si>
    <t>S1 - Baseline</t>
  </si>
  <si>
    <t>S2 - Transport</t>
  </si>
  <si>
    <t>S3 - Investment Grant</t>
  </si>
  <si>
    <t>S4 - CCfD</t>
  </si>
  <si>
    <t>S5 - T&amp;S Support</t>
  </si>
  <si>
    <t>S6 - Grant + CCfD</t>
  </si>
  <si>
    <t>S7 - CCfD + T&amp;S Support</t>
  </si>
  <si>
    <t>S3 - Required Grant Coverage (%)</t>
  </si>
  <si>
    <t>S3 - Policy Cost (€) - Grant Coverage</t>
  </si>
  <si>
    <t>S4 - Required CCFD strike/subsidy (€/t)</t>
  </si>
  <si>
    <r>
      <t>S4 - Required CCFD subsidy (€/t) -</t>
    </r>
    <r>
      <rPr>
        <sz val="12"/>
        <color theme="1"/>
        <rFont val="Times New Roman"/>
        <family val="1"/>
      </rPr>
      <t xml:space="preserve"> For Germany implied payment per ton</t>
    </r>
  </si>
  <si>
    <t>S4 - Policy Cost (€) - CCfD subsidy</t>
  </si>
  <si>
    <t>S5 - Required T&amp;S subsidy (€/t)</t>
  </si>
  <si>
    <t>S5 - Policy Cost (€) - T&amp;S subsidy</t>
  </si>
  <si>
    <r>
      <t xml:space="preserve">S6 - Required Grant Coverage (%) - </t>
    </r>
    <r>
      <rPr>
        <sz val="12"/>
        <color theme="1"/>
        <rFont val="Times New Roman"/>
        <family val="1"/>
      </rPr>
      <t>CCfD held at baseline</t>
    </r>
  </si>
  <si>
    <t>S6 - Policy Cost (€) - Grant Coverage</t>
  </si>
  <si>
    <r>
      <t xml:space="preserve">S6 - Required CCFD strike/subsidy (€/t) - </t>
    </r>
    <r>
      <rPr>
        <sz val="12"/>
        <color theme="1"/>
        <rFont val="Times New Roman"/>
        <family val="1"/>
      </rPr>
      <t xml:space="preserve">Grant held at 50% coverage </t>
    </r>
  </si>
  <si>
    <r>
      <t xml:space="preserve">S6 - Required CCFD subsidy (€/t) - </t>
    </r>
    <r>
      <rPr>
        <sz val="12"/>
        <color theme="1"/>
        <rFont val="Times New Roman"/>
        <family val="1"/>
      </rPr>
      <t>Grant held at 50% coverage and for Germany implied payment per ton</t>
    </r>
  </si>
  <si>
    <t>S6 - Policy Cost (€) - CCfD strike</t>
  </si>
  <si>
    <r>
      <t xml:space="preserve">S7 - Required CCFD strike/subsidy (€/t) - </t>
    </r>
    <r>
      <rPr>
        <sz val="12"/>
        <color theme="1"/>
        <rFont val="Times New Roman"/>
        <family val="1"/>
      </rPr>
      <t>T&amp;S subsidy held at baseline</t>
    </r>
  </si>
  <si>
    <r>
      <t xml:space="preserve">S7 - Required CCFD strike/subsidy (€/t) - </t>
    </r>
    <r>
      <rPr>
        <sz val="12"/>
        <color theme="1"/>
        <rFont val="Times New Roman"/>
        <family val="1"/>
      </rPr>
      <t>T&amp;S subsidy held at baseline and for Germany implied payment per ton</t>
    </r>
  </si>
  <si>
    <t>S7 - Policy Cost (€) - CCfD strike</t>
  </si>
  <si>
    <r>
      <t xml:space="preserve">S7 - Required T&amp;S subsidy (€/t) - </t>
    </r>
    <r>
      <rPr>
        <sz val="12"/>
        <color theme="1"/>
        <rFont val="Times New Roman"/>
        <family val="1"/>
      </rPr>
      <t>CCfD held at baseline</t>
    </r>
  </si>
  <si>
    <t>S7 - Policy Cost (€) - T&amp;S subsidy</t>
  </si>
  <si>
    <t xml:space="preserve">S4 - Required CCFD subsidy (implied payment) (€/t) </t>
  </si>
  <si>
    <t xml:space="preserve">S6 - Required Grant Coverage (%) </t>
  </si>
  <si>
    <t xml:space="preserve">S6 - Required CCFD subsidy (impled payment) (€/t) </t>
  </si>
  <si>
    <t xml:space="preserve">S7 - Required CCFD strike/subsidy (€/t) </t>
  </si>
  <si>
    <t xml:space="preserve">S7 - Required T&amp;S subsidy (€/t) </t>
  </si>
  <si>
    <t>Fixed Policy Parameters</t>
  </si>
  <si>
    <t>Net price index by unit, commodity group and time</t>
  </si>
  <si>
    <t>Unit: -</t>
  </si>
  <si>
    <t>2026M05</t>
  </si>
  <si>
    <t>00 Index of net prices, total</t>
  </si>
  <si>
    <t>Average Net Price Index Denmark 2016-2025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</si>
  <si>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</si>
  <si>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</si>
  <si>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</si>
  <si>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</si>
  <si>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</si>
  <si>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</si>
  <si>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</si>
  <si>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</si>
  <si>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</si>
  <si>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</si>
  <si>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</si>
  <si>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</si>
  <si>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</si>
  <si>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</si>
  <si>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</si>
  <si>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</si>
  <si>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</si>
  <si>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</si>
  <si>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</si>
  <si>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</si>
  <si>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</si>
  <si>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</si>
  <si>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</si>
  <si>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</si>
  <si>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</si>
  <si>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</si>
  <si>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</si>
  <si>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</si>
  <si>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</si>
  <si>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</si>
  <si>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</si>
  <si>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</si>
  <si>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</si>
  <si>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</si>
  <si>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</si>
  <si>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</si>
  <si>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</si>
  <si>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</si>
  <si>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</si>
  <si>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</si>
  <si>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</si>
  <si>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</si>
  <si>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</si>
  <si>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</si>
  <si>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</si>
  <si>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</si>
  <si>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</si>
  <si>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</si>
  <si>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TIME</t>
  </si>
  <si>
    <t>GEO (Labels)</t>
  </si>
  <si>
    <t>Euro area – 20 countries (2023-2025)</t>
  </si>
  <si>
    <t>Average PPI Euro Area 2024</t>
  </si>
  <si>
    <t>Average PPI Germany 2024</t>
  </si>
  <si>
    <t xml:space="preserve">PPI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</si>
</sst>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#,##0.00\ &quot;€&quot;;[Red]\-#,##0.00\ &quot;€&quot;"/>
    <numFmt numFmtId="43" formatCode="_-* #,##0.00_-;\-* #,##0.00_-;_-* &quot;-&quot;??_-;_-@_-"/>
    <numFmt numFmtId="164" formatCode="_-* #,##0.00\ _€_-;\-* #,##0.00\ _€_-;_-* &quot;-&quot;??\ _€_-;_-@_-"/>
    <numFmt numFmtId="165" formatCode="0.000"/>
    <numFmt numFmtId="166" formatCode="dd\.mm\.yyyy"/>
    <numFmt numFmtId="167" formatCode="0.0%"/>
    <numFmt numFmtId="168" formatCode="_(* #,##0.00_);_(* \(#,##0.00\);_(* &quot;-&quot;??_);_(@_)"/>
    <numFmt numFmtId="169" formatCode="0.0000"/>
    <numFmt numFmtId="170" formatCode="_-* #,##0.000_-;\-* #,##0.000_-;_-* &quot;-&quot;??_-;_-@_-"/>
    <numFmt numFmtId="171" formatCode="_-* #,##0.00000_-;\-* #,##0.00000_-;_-* &quot;-&quot;??_-;_-@_-"/>
    <numFmt numFmtId="172" formatCode="_-* #,##0.0000\ _€_-;\-* #,##0.0000\ _€_-;_-* &quot;-&quot;??\ _€_-;_-@_-"/>
    <numFmt numFmtId="173" formatCode="#,##0.000"/>
    <numFmt numFmtId="174" formatCode="_-* #,##0.000\ _€_-;\-* #,##0.000\ _€_-;_-* &quot;-&quot;??\ _€_-;_-@_-"/>
    <numFmt numFmtId="175" formatCode="#,##0.##########"/>
    <numFmt numFmtId="176" formatCode="#,##0.0"/>
  </numFmts>
  <fonts count="3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u/>
      <sz val="12"/>
      <color theme="10"/>
      <name val="Times New Roman"/>
      <family val="1"/>
    </font>
    <font>
      <sz val="18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FFFFFF"/>
      <name val="Times New Roman"/>
      <family val="1"/>
    </font>
    <font>
      <sz val="10"/>
      <color theme="1"/>
      <name val="Times New Roman"/>
      <family val="1"/>
    </font>
    <font>
      <i/>
      <sz val="10"/>
      <color rgb="FF6B7280"/>
      <name val="Times New Roman"/>
      <family val="1"/>
    </font>
    <font>
      <i/>
      <sz val="8"/>
      <color rgb="FF9CA3AF"/>
      <name val="Times New Roman"/>
      <family val="1"/>
    </font>
    <font>
      <b/>
      <sz val="14"/>
      <color rgb="FF000000"/>
      <name val="Times New Roman"/>
      <family val="1"/>
    </font>
    <font>
      <b/>
      <sz val="11"/>
      <color rgb="FF000000"/>
      <name val="Times New Roman"/>
      <family val="1"/>
    </font>
    <font>
      <sz val="22"/>
      <color theme="1"/>
      <name val="Times New Roman"/>
      <family val="1"/>
    </font>
    <font>
      <b/>
      <sz val="22"/>
      <color theme="1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12"/>
      <name val="Times New Roman"/>
      <family val="1"/>
    </font>
    <font>
      <b/>
      <sz val="18"/>
      <color indexed="9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20"/>
      <color theme="1"/>
      <name val="Times New Roman"/>
      <family val="1"/>
    </font>
    <font>
      <i/>
      <sz val="11"/>
      <color rgb="FF000000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9"/>
      <color indexed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rgb="FFF0F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69AF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0096DC"/>
      </patternFill>
    </fill>
    <fill>
      <patternFill patternType="solid">
        <fgColor rgb="FFDCE6F1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thick">
        <color indexed="10"/>
      </left>
      <right/>
      <top/>
      <bottom/>
      <diagonal/>
    </border>
    <border>
      <left/>
      <right style="thick">
        <color indexed="10"/>
      </right>
      <top/>
      <bottom/>
      <diagonal/>
    </border>
    <border>
      <left style="thick">
        <color indexed="10"/>
      </left>
      <right/>
      <top/>
      <bottom style="thick">
        <color indexed="10"/>
      </bottom>
      <diagonal/>
    </border>
    <border>
      <left/>
      <right/>
      <top/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595959"/>
      </left>
      <right style="thin">
        <color rgb="FFD0D0D0"/>
      </right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595959"/>
      </left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0" fillId="0" borderId="0"/>
  </cellStyleXfs>
  <cellXfs count="254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0" xfId="0" applyFont="1"/>
    <xf numFmtId="10" fontId="2" fillId="0" borderId="0" xfId="0" applyNumberFormat="1" applyFont="1"/>
    <xf numFmtId="43" fontId="2" fillId="0" borderId="0" xfId="1" applyFont="1"/>
    <xf numFmtId="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horizontal="center" wrapText="1"/>
    </xf>
    <xf numFmtId="43" fontId="2" fillId="0" borderId="0" xfId="1" applyFont="1" applyAlignment="1"/>
    <xf numFmtId="0" fontId="2" fillId="3" borderId="2" xfId="0" applyFont="1" applyFill="1" applyBorder="1"/>
    <xf numFmtId="9" fontId="2" fillId="0" borderId="0" xfId="2" applyFont="1" applyAlignment="1"/>
    <xf numFmtId="0" fontId="2" fillId="0" borderId="0" xfId="3" applyFont="1" applyAlignment="1">
      <alignment wrapText="1"/>
    </xf>
    <xf numFmtId="0" fontId="7" fillId="5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/>
    </xf>
    <xf numFmtId="0" fontId="8" fillId="3" borderId="1" xfId="0" applyFont="1" applyFill="1" applyBorder="1"/>
    <xf numFmtId="0" fontId="5" fillId="0" borderId="0" xfId="3" applyFont="1"/>
    <xf numFmtId="0" fontId="5" fillId="0" borderId="0" xfId="3" applyFont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2" fontId="2" fillId="0" borderId="0" xfId="0" applyNumberFormat="1" applyFont="1" applyAlignment="1">
      <alignment horizontal="right"/>
    </xf>
    <xf numFmtId="43" fontId="2" fillId="0" borderId="0" xfId="0" applyNumberFormat="1" applyFont="1"/>
    <xf numFmtId="0" fontId="8" fillId="0" borderId="1" xfId="0" applyFont="1" applyBorder="1"/>
    <xf numFmtId="43" fontId="8" fillId="0" borderId="1" xfId="0" applyNumberFormat="1" applyFont="1" applyBorder="1"/>
    <xf numFmtId="43" fontId="8" fillId="3" borderId="1" xfId="0" applyNumberFormat="1" applyFont="1" applyFill="1" applyBorder="1"/>
    <xf numFmtId="9" fontId="8" fillId="3" borderId="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43" fontId="8" fillId="0" borderId="0" xfId="1" applyFont="1"/>
    <xf numFmtId="0" fontId="8" fillId="3" borderId="3" xfId="0" applyFont="1" applyFill="1" applyBorder="1"/>
    <xf numFmtId="0" fontId="8" fillId="3" borderId="0" xfId="0" applyFont="1" applyFill="1"/>
    <xf numFmtId="0" fontId="8" fillId="3" borderId="19" xfId="0" applyFont="1" applyFill="1" applyBorder="1"/>
    <xf numFmtId="0" fontId="8" fillId="3" borderId="20" xfId="0" applyFont="1" applyFill="1" applyBorder="1"/>
    <xf numFmtId="0" fontId="11" fillId="2" borderId="0" xfId="0" applyFont="1" applyFill="1" applyAlignment="1">
      <alignment horizontal="center"/>
    </xf>
    <xf numFmtId="0" fontId="11" fillId="2" borderId="0" xfId="0" applyFont="1" applyFill="1"/>
    <xf numFmtId="0" fontId="8" fillId="3" borderId="21" xfId="0" applyFont="1" applyFill="1" applyBorder="1"/>
    <xf numFmtId="43" fontId="2" fillId="0" borderId="0" xfId="1" applyFont="1" applyFill="1"/>
    <xf numFmtId="4" fontId="2" fillId="0" borderId="0" xfId="0" applyNumberFormat="1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43" fontId="2" fillId="0" borderId="0" xfId="1" applyFont="1" applyFill="1" applyBorder="1"/>
    <xf numFmtId="9" fontId="2" fillId="0" borderId="0" xfId="2" applyFont="1" applyFill="1" applyBorder="1"/>
    <xf numFmtId="0" fontId="3" fillId="0" borderId="0" xfId="0" applyFont="1"/>
    <xf numFmtId="43" fontId="8" fillId="0" borderId="1" xfId="1" applyFont="1" applyBorder="1"/>
    <xf numFmtId="43" fontId="2" fillId="0" borderId="3" xfId="0" applyNumberFormat="1" applyFont="1" applyBorder="1"/>
    <xf numFmtId="164" fontId="2" fillId="0" borderId="3" xfId="0" applyNumberFormat="1" applyFont="1" applyBorder="1"/>
    <xf numFmtId="0" fontId="2" fillId="3" borderId="0" xfId="0" applyFont="1" applyFill="1"/>
    <xf numFmtId="0" fontId="8" fillId="0" borderId="3" xfId="0" applyFont="1" applyBorder="1"/>
    <xf numFmtId="43" fontId="8" fillId="0" borderId="3" xfId="1" applyFont="1" applyBorder="1"/>
    <xf numFmtId="0" fontId="8" fillId="0" borderId="2" xfId="0" applyFont="1" applyBorder="1"/>
    <xf numFmtId="43" fontId="8" fillId="0" borderId="2" xfId="0" applyNumberFormat="1" applyFont="1" applyBorder="1"/>
    <xf numFmtId="43" fontId="8" fillId="0" borderId="3" xfId="0" applyNumberFormat="1" applyFont="1" applyBorder="1"/>
    <xf numFmtId="43" fontId="2" fillId="0" borderId="0" xfId="1" applyFont="1" applyBorder="1"/>
    <xf numFmtId="43" fontId="2" fillId="0" borderId="2" xfId="0" applyNumberFormat="1" applyFont="1" applyBorder="1"/>
    <xf numFmtId="164" fontId="2" fillId="0" borderId="2" xfId="0" applyNumberFormat="1" applyFont="1" applyBorder="1"/>
    <xf numFmtId="0" fontId="8" fillId="3" borderId="23" xfId="0" applyFont="1" applyFill="1" applyBorder="1"/>
    <xf numFmtId="43" fontId="2" fillId="0" borderId="2" xfId="1" applyFont="1" applyBorder="1"/>
    <xf numFmtId="43" fontId="2" fillId="0" borderId="3" xfId="1" applyFont="1" applyBorder="1"/>
    <xf numFmtId="43" fontId="2" fillId="0" borderId="2" xfId="1" applyFont="1" applyFill="1" applyBorder="1"/>
    <xf numFmtId="0" fontId="8" fillId="3" borderId="1" xfId="0" applyFont="1" applyFill="1" applyBorder="1" applyAlignment="1">
      <alignment wrapText="1"/>
    </xf>
    <xf numFmtId="43" fontId="2" fillId="0" borderId="3" xfId="1" applyFont="1" applyFill="1" applyBorder="1"/>
    <xf numFmtId="9" fontId="2" fillId="0" borderId="2" xfId="2" applyFont="1" applyFill="1" applyBorder="1" applyAlignment="1"/>
    <xf numFmtId="9" fontId="2" fillId="0" borderId="0" xfId="2" applyFont="1" applyFill="1" applyBorder="1" applyAlignment="1"/>
    <xf numFmtId="9" fontId="2" fillId="0" borderId="3" xfId="2" applyFont="1" applyFill="1" applyBorder="1" applyAlignment="1"/>
    <xf numFmtId="9" fontId="2" fillId="0" borderId="2" xfId="2" applyFont="1" applyBorder="1"/>
    <xf numFmtId="9" fontId="2" fillId="0" borderId="0" xfId="2" applyFont="1" applyBorder="1"/>
    <xf numFmtId="9" fontId="2" fillId="0" borderId="3" xfId="2" applyFont="1" applyBorder="1"/>
    <xf numFmtId="0" fontId="0" fillId="0" borderId="0" xfId="0" applyAlignment="1">
      <alignment horizontal="left" indent="1"/>
    </xf>
    <xf numFmtId="0" fontId="2" fillId="3" borderId="19" xfId="0" applyFont="1" applyFill="1" applyBorder="1"/>
    <xf numFmtId="0" fontId="8" fillId="3" borderId="23" xfId="0" applyFont="1" applyFill="1" applyBorder="1" applyAlignment="1">
      <alignment wrapText="1"/>
    </xf>
    <xf numFmtId="0" fontId="8" fillId="3" borderId="19" xfId="0" applyFont="1" applyFill="1" applyBorder="1" applyAlignment="1">
      <alignment wrapText="1"/>
    </xf>
    <xf numFmtId="167" fontId="2" fillId="0" borderId="0" xfId="0" applyNumberFormat="1" applyFont="1"/>
    <xf numFmtId="0" fontId="13" fillId="9" borderId="19" xfId="0" applyFont="1" applyFill="1" applyBorder="1" applyAlignment="1">
      <alignment wrapText="1"/>
    </xf>
    <xf numFmtId="0" fontId="13" fillId="9" borderId="20" xfId="0" applyFont="1" applyFill="1" applyBorder="1" applyAlignment="1">
      <alignment wrapText="1"/>
    </xf>
    <xf numFmtId="168" fontId="2" fillId="0" borderId="0" xfId="1" applyNumberFormat="1" applyFont="1" applyFill="1" applyBorder="1"/>
    <xf numFmtId="168" fontId="2" fillId="0" borderId="3" xfId="1" applyNumberFormat="1" applyFont="1" applyFill="1" applyBorder="1"/>
    <xf numFmtId="168" fontId="8" fillId="0" borderId="0" xfId="1" applyNumberFormat="1" applyFont="1" applyFill="1" applyBorder="1"/>
    <xf numFmtId="43" fontId="7" fillId="0" borderId="0" xfId="0" applyNumberFormat="1" applyFont="1"/>
    <xf numFmtId="167" fontId="8" fillId="0" borderId="2" xfId="1" applyNumberFormat="1" applyFont="1" applyFill="1" applyBorder="1"/>
    <xf numFmtId="169" fontId="2" fillId="0" borderId="0" xfId="0" applyNumberFormat="1" applyFont="1"/>
    <xf numFmtId="43" fontId="8" fillId="3" borderId="1" xfId="1" applyFont="1" applyFill="1" applyBorder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4" fillId="0" borderId="0" xfId="0" applyFont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 indent="3"/>
    </xf>
    <xf numFmtId="0" fontId="2" fillId="0" borderId="26" xfId="0" applyFont="1" applyBorder="1"/>
    <xf numFmtId="43" fontId="2" fillId="0" borderId="26" xfId="1" applyFont="1" applyBorder="1" applyAlignment="1"/>
    <xf numFmtId="2" fontId="2" fillId="0" borderId="26" xfId="0" applyNumberFormat="1" applyFont="1" applyBorder="1"/>
    <xf numFmtId="43" fontId="16" fillId="0" borderId="0" xfId="1" applyFont="1"/>
    <xf numFmtId="0" fontId="21" fillId="0" borderId="0" xfId="0" applyFont="1"/>
    <xf numFmtId="167" fontId="8" fillId="0" borderId="2" xfId="1" applyNumberFormat="1" applyFont="1" applyBorder="1"/>
    <xf numFmtId="43" fontId="8" fillId="0" borderId="0" xfId="1" applyFont="1" applyBorder="1"/>
    <xf numFmtId="8" fontId="2" fillId="0" borderId="0" xfId="1" applyNumberFormat="1" applyFont="1"/>
    <xf numFmtId="170" fontId="8" fillId="0" borderId="0" xfId="1" applyNumberFormat="1" applyFont="1"/>
    <xf numFmtId="0" fontId="22" fillId="4" borderId="25" xfId="0" applyFont="1" applyFill="1" applyBorder="1" applyAlignment="1">
      <alignment horizontal="left"/>
    </xf>
    <xf numFmtId="43" fontId="23" fillId="5" borderId="27" xfId="0" applyNumberFormat="1" applyFont="1" applyFill="1" applyBorder="1"/>
    <xf numFmtId="0" fontId="2" fillId="0" borderId="1" xfId="0" applyFont="1" applyBorder="1"/>
    <xf numFmtId="0" fontId="8" fillId="3" borderId="21" xfId="0" applyFont="1" applyFill="1" applyBorder="1" applyAlignment="1">
      <alignment wrapText="1"/>
    </xf>
    <xf numFmtId="43" fontId="7" fillId="0" borderId="0" xfId="1" applyFont="1"/>
    <xf numFmtId="43" fontId="8" fillId="10" borderId="0" xfId="1" applyFont="1" applyFill="1" applyBorder="1"/>
    <xf numFmtId="168" fontId="8" fillId="10" borderId="0" xfId="1" applyNumberFormat="1" applyFont="1" applyFill="1" applyBorder="1"/>
    <xf numFmtId="171" fontId="8" fillId="0" borderId="0" xfId="1" applyNumberFormat="1" applyFont="1"/>
    <xf numFmtId="0" fontId="8" fillId="3" borderId="3" xfId="0" applyFont="1" applyFill="1" applyBorder="1" applyAlignment="1">
      <alignment wrapText="1"/>
    </xf>
    <xf numFmtId="10" fontId="2" fillId="0" borderId="0" xfId="2" applyNumberFormat="1" applyFont="1"/>
    <xf numFmtId="10" fontId="7" fillId="0" borderId="0" xfId="2" applyNumberFormat="1" applyFont="1"/>
    <xf numFmtId="2" fontId="2" fillId="0" borderId="0" xfId="1" applyNumberFormat="1" applyFont="1"/>
    <xf numFmtId="10" fontId="7" fillId="0" borderId="0" xfId="2" applyNumberFormat="1" applyFont="1" applyBorder="1"/>
    <xf numFmtId="10" fontId="2" fillId="0" borderId="0" xfId="2" applyNumberFormat="1" applyFont="1" applyBorder="1"/>
    <xf numFmtId="0" fontId="15" fillId="2" borderId="0" xfId="0" applyFont="1" applyFill="1"/>
    <xf numFmtId="2" fontId="8" fillId="3" borderId="1" xfId="0" applyNumberFormat="1" applyFont="1" applyFill="1" applyBorder="1"/>
    <xf numFmtId="2" fontId="23" fillId="5" borderId="28" xfId="0" applyNumberFormat="1" applyFont="1" applyFill="1" applyBorder="1" applyAlignment="1">
      <alignment horizontal="center"/>
    </xf>
    <xf numFmtId="0" fontId="23" fillId="5" borderId="27" xfId="2" applyNumberFormat="1" applyFont="1" applyFill="1" applyBorder="1"/>
    <xf numFmtId="0" fontId="23" fillId="5" borderId="34" xfId="2" applyNumberFormat="1" applyFont="1" applyFill="1" applyBorder="1"/>
    <xf numFmtId="2" fontId="17" fillId="0" borderId="28" xfId="0" applyNumberFormat="1" applyFont="1" applyBorder="1"/>
    <xf numFmtId="2" fontId="17" fillId="0" borderId="29" xfId="0" applyNumberFormat="1" applyFont="1" applyBorder="1"/>
    <xf numFmtId="2" fontId="17" fillId="0" borderId="32" xfId="0" applyNumberFormat="1" applyFont="1" applyBorder="1"/>
    <xf numFmtId="2" fontId="17" fillId="0" borderId="30" xfId="0" applyNumberFormat="1" applyFont="1" applyBorder="1"/>
    <xf numFmtId="2" fontId="17" fillId="0" borderId="33" xfId="0" applyNumberFormat="1" applyFont="1" applyBorder="1"/>
    <xf numFmtId="2" fontId="17" fillId="0" borderId="31" xfId="0" applyNumberFormat="1" applyFont="1" applyBorder="1"/>
    <xf numFmtId="2" fontId="17" fillId="0" borderId="24" xfId="0" applyNumberFormat="1" applyFont="1" applyBorder="1"/>
    <xf numFmtId="2" fontId="16" fillId="0" borderId="28" xfId="0" applyNumberFormat="1" applyFont="1" applyBorder="1"/>
    <xf numFmtId="2" fontId="17" fillId="0" borderId="35" xfId="0" applyNumberFormat="1" applyFont="1" applyBorder="1"/>
    <xf numFmtId="2" fontId="17" fillId="0" borderId="36" xfId="0" applyNumberFormat="1" applyFont="1" applyBorder="1"/>
    <xf numFmtId="2" fontId="17" fillId="0" borderId="37" xfId="0" applyNumberFormat="1" applyFont="1" applyBorder="1"/>
    <xf numFmtId="43" fontId="8" fillId="0" borderId="0" xfId="1" applyFont="1" applyFill="1" applyBorder="1"/>
    <xf numFmtId="167" fontId="2" fillId="0" borderId="0" xfId="2" applyNumberFormat="1" applyFont="1"/>
    <xf numFmtId="43" fontId="2" fillId="0" borderId="38" xfId="1" applyFont="1" applyBorder="1"/>
    <xf numFmtId="43" fontId="2" fillId="0" borderId="39" xfId="1" applyFont="1" applyBorder="1"/>
    <xf numFmtId="43" fontId="2" fillId="0" borderId="40" xfId="1" applyFont="1" applyBorder="1"/>
    <xf numFmtId="43" fontId="2" fillId="0" borderId="38" xfId="1" applyFont="1" applyFill="1" applyBorder="1"/>
    <xf numFmtId="43" fontId="2" fillId="0" borderId="39" xfId="1" applyFont="1" applyFill="1" applyBorder="1"/>
    <xf numFmtId="43" fontId="2" fillId="0" borderId="40" xfId="1" applyFont="1" applyFill="1" applyBorder="1"/>
    <xf numFmtId="43" fontId="20" fillId="0" borderId="0" xfId="1" applyFont="1" applyFill="1" applyBorder="1"/>
    <xf numFmtId="43" fontId="18" fillId="0" borderId="0" xfId="1" applyFont="1" applyFill="1" applyBorder="1" applyAlignment="1">
      <alignment horizontal="center"/>
    </xf>
    <xf numFmtId="43" fontId="19" fillId="0" borderId="0" xfId="1" applyFont="1" applyFill="1" applyBorder="1"/>
    <xf numFmtId="0" fontId="23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10" fontId="7" fillId="0" borderId="0" xfId="0" applyNumberFormat="1" applyFont="1"/>
    <xf numFmtId="0" fontId="8" fillId="0" borderId="2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8" fillId="0" borderId="19" xfId="0" applyFont="1" applyBorder="1"/>
    <xf numFmtId="0" fontId="8" fillId="0" borderId="23" xfId="0" applyFont="1" applyBorder="1"/>
    <xf numFmtId="0" fontId="8" fillId="0" borderId="20" xfId="0" applyFont="1" applyBorder="1"/>
    <xf numFmtId="165" fontId="23" fillId="5" borderId="28" xfId="0" applyNumberFormat="1" applyFont="1" applyFill="1" applyBorder="1" applyAlignment="1">
      <alignment horizontal="center"/>
    </xf>
    <xf numFmtId="2" fontId="17" fillId="11" borderId="28" xfId="0" applyNumberFormat="1" applyFont="1" applyFill="1" applyBorder="1"/>
    <xf numFmtId="172" fontId="2" fillId="0" borderId="0" xfId="0" applyNumberFormat="1" applyFont="1"/>
    <xf numFmtId="10" fontId="2" fillId="0" borderId="2" xfId="1" applyNumberFormat="1" applyFont="1" applyBorder="1"/>
    <xf numFmtId="10" fontId="8" fillId="0" borderId="2" xfId="1" applyNumberFormat="1" applyFont="1" applyFill="1" applyBorder="1"/>
    <xf numFmtId="10" fontId="8" fillId="0" borderId="2" xfId="2" applyNumberFormat="1" applyFont="1" applyFill="1" applyBorder="1"/>
    <xf numFmtId="0" fontId="8" fillId="12" borderId="0" xfId="0" applyFont="1" applyFill="1"/>
    <xf numFmtId="0" fontId="2" fillId="2" borderId="0" xfId="0" applyFont="1" applyFill="1"/>
    <xf numFmtId="174" fontId="2" fillId="0" borderId="0" xfId="0" applyNumberFormat="1" applyFont="1"/>
    <xf numFmtId="0" fontId="27" fillId="0" borderId="0" xfId="4" applyFont="1"/>
    <xf numFmtId="0" fontId="26" fillId="8" borderId="10" xfId="4" applyFont="1" applyFill="1" applyBorder="1" applyAlignment="1">
      <alignment horizontal="center" vertical="center" wrapText="1"/>
    </xf>
    <xf numFmtId="166" fontId="31" fillId="0" borderId="11" xfId="4" applyNumberFormat="1" applyFont="1" applyBorder="1" applyAlignment="1">
      <alignment horizontal="center"/>
    </xf>
    <xf numFmtId="20" fontId="26" fillId="0" borderId="12" xfId="4" applyNumberFormat="1" applyFont="1" applyBorder="1" applyAlignment="1">
      <alignment horizontal="center"/>
    </xf>
    <xf numFmtId="0" fontId="26" fillId="0" borderId="12" xfId="4" applyFont="1" applyBorder="1" applyAlignment="1">
      <alignment horizontal="left"/>
    </xf>
    <xf numFmtId="0" fontId="26" fillId="0" borderId="12" xfId="4" applyFont="1" applyBorder="1" applyAlignment="1">
      <alignment horizontal="center"/>
    </xf>
    <xf numFmtId="0" fontId="26" fillId="0" borderId="13" xfId="4" applyFont="1" applyBorder="1" applyAlignment="1">
      <alignment horizontal="center"/>
    </xf>
    <xf numFmtId="2" fontId="26" fillId="0" borderId="11" xfId="4" applyNumberFormat="1" applyFont="1" applyBorder="1" applyAlignment="1">
      <alignment horizontal="center"/>
    </xf>
    <xf numFmtId="2" fontId="26" fillId="0" borderId="12" xfId="4" applyNumberFormat="1" applyFont="1" applyBorder="1" applyAlignment="1">
      <alignment horizontal="center"/>
    </xf>
    <xf numFmtId="2" fontId="26" fillId="0" borderId="13" xfId="4" applyNumberFormat="1" applyFont="1" applyBorder="1" applyAlignment="1">
      <alignment horizontal="center"/>
    </xf>
    <xf numFmtId="3" fontId="26" fillId="0" borderId="11" xfId="4" applyNumberFormat="1" applyFont="1" applyBorder="1" applyAlignment="1">
      <alignment horizontal="center"/>
    </xf>
    <xf numFmtId="3" fontId="26" fillId="0" borderId="12" xfId="4" applyNumberFormat="1" applyFont="1" applyBorder="1" applyAlignment="1">
      <alignment horizontal="center"/>
    </xf>
    <xf numFmtId="3" fontId="26" fillId="0" borderId="13" xfId="4" applyNumberFormat="1" applyFont="1" applyBorder="1" applyAlignment="1">
      <alignment horizontal="center"/>
    </xf>
    <xf numFmtId="0" fontId="26" fillId="0" borderId="13" xfId="4" applyFont="1" applyBorder="1" applyAlignment="1">
      <alignment horizontal="left"/>
    </xf>
    <xf numFmtId="166" fontId="31" fillId="0" borderId="14" xfId="4" applyNumberFormat="1" applyFont="1" applyBorder="1" applyAlignment="1">
      <alignment horizontal="center"/>
    </xf>
    <xf numFmtId="20" fontId="26" fillId="0" borderId="0" xfId="4" applyNumberFormat="1" applyFont="1" applyAlignment="1">
      <alignment horizontal="center"/>
    </xf>
    <xf numFmtId="0" fontId="26" fillId="0" borderId="0" xfId="4" applyFont="1" applyAlignment="1">
      <alignment horizontal="left"/>
    </xf>
    <xf numFmtId="0" fontId="26" fillId="0" borderId="0" xfId="4" applyFont="1" applyAlignment="1">
      <alignment horizontal="center"/>
    </xf>
    <xf numFmtId="0" fontId="26" fillId="0" borderId="15" xfId="4" applyFont="1" applyBorder="1" applyAlignment="1">
      <alignment horizontal="center"/>
    </xf>
    <xf numFmtId="2" fontId="26" fillId="0" borderId="14" xfId="4" applyNumberFormat="1" applyFont="1" applyBorder="1" applyAlignment="1">
      <alignment horizontal="center"/>
    </xf>
    <xf numFmtId="2" fontId="26" fillId="0" borderId="0" xfId="4" applyNumberFormat="1" applyFont="1" applyAlignment="1">
      <alignment horizontal="center"/>
    </xf>
    <xf numFmtId="2" fontId="26" fillId="0" borderId="15" xfId="4" applyNumberFormat="1" applyFont="1" applyBorder="1" applyAlignment="1">
      <alignment horizontal="center"/>
    </xf>
    <xf numFmtId="3" fontId="26" fillId="0" borderId="14" xfId="4" applyNumberFormat="1" applyFont="1" applyBorder="1" applyAlignment="1">
      <alignment horizontal="center"/>
    </xf>
    <xf numFmtId="3" fontId="26" fillId="0" borderId="0" xfId="4" applyNumberFormat="1" applyFont="1" applyAlignment="1">
      <alignment horizontal="center"/>
    </xf>
    <xf numFmtId="3" fontId="26" fillId="0" borderId="15" xfId="4" applyNumberFormat="1" applyFont="1" applyBorder="1" applyAlignment="1">
      <alignment horizontal="center"/>
    </xf>
    <xf numFmtId="0" fontId="26" fillId="0" borderId="14" xfId="4" applyFont="1" applyBorder="1" applyAlignment="1">
      <alignment horizontal="left"/>
    </xf>
    <xf numFmtId="0" fontId="26" fillId="0" borderId="15" xfId="4" applyFont="1" applyBorder="1" applyAlignment="1">
      <alignment horizontal="left"/>
    </xf>
    <xf numFmtId="166" fontId="31" fillId="0" borderId="16" xfId="4" applyNumberFormat="1" applyFont="1" applyBorder="1" applyAlignment="1">
      <alignment horizontal="center"/>
    </xf>
    <xf numFmtId="20" fontId="26" fillId="0" borderId="17" xfId="4" applyNumberFormat="1" applyFont="1" applyBorder="1" applyAlignment="1">
      <alignment horizontal="center"/>
    </xf>
    <xf numFmtId="0" fontId="26" fillId="0" borderId="17" xfId="4" applyFont="1" applyBorder="1" applyAlignment="1">
      <alignment horizontal="left"/>
    </xf>
    <xf numFmtId="0" fontId="26" fillId="0" borderId="17" xfId="4" applyFont="1" applyBorder="1" applyAlignment="1">
      <alignment horizontal="center"/>
    </xf>
    <xf numFmtId="0" fontId="26" fillId="0" borderId="18" xfId="4" applyFont="1" applyBorder="1" applyAlignment="1">
      <alignment horizontal="center"/>
    </xf>
    <xf numFmtId="2" fontId="26" fillId="0" borderId="16" xfId="4" applyNumberFormat="1" applyFont="1" applyBorder="1" applyAlignment="1">
      <alignment horizontal="center"/>
    </xf>
    <xf numFmtId="2" fontId="26" fillId="0" borderId="17" xfId="4" applyNumberFormat="1" applyFont="1" applyBorder="1" applyAlignment="1">
      <alignment horizontal="center"/>
    </xf>
    <xf numFmtId="2" fontId="26" fillId="0" borderId="18" xfId="4" applyNumberFormat="1" applyFont="1" applyBorder="1" applyAlignment="1">
      <alignment horizontal="center"/>
    </xf>
    <xf numFmtId="3" fontId="26" fillId="0" borderId="16" xfId="4" applyNumberFormat="1" applyFont="1" applyBorder="1" applyAlignment="1">
      <alignment horizontal="center"/>
    </xf>
    <xf numFmtId="3" fontId="26" fillId="0" borderId="17" xfId="4" applyNumberFormat="1" applyFont="1" applyBorder="1" applyAlignment="1">
      <alignment horizontal="center"/>
    </xf>
    <xf numFmtId="3" fontId="26" fillId="0" borderId="18" xfId="4" applyNumberFormat="1" applyFont="1" applyBorder="1" applyAlignment="1">
      <alignment horizontal="center"/>
    </xf>
    <xf numFmtId="0" fontId="26" fillId="0" borderId="18" xfId="4" applyFont="1" applyBorder="1" applyAlignment="1">
      <alignment horizontal="left"/>
    </xf>
    <xf numFmtId="0" fontId="5" fillId="0" borderId="0" xfId="3" applyFont="1" applyAlignment="1">
      <alignment horizontal="left" wrapText="1"/>
    </xf>
    <xf numFmtId="167" fontId="8" fillId="0" borderId="0" xfId="1" applyNumberFormat="1" applyFont="1" applyBorder="1"/>
    <xf numFmtId="167" fontId="8" fillId="0" borderId="0" xfId="1" applyNumberFormat="1" applyFont="1" applyFill="1" applyBorder="1"/>
    <xf numFmtId="0" fontId="8" fillId="3" borderId="43" xfId="0" applyFont="1" applyFill="1" applyBorder="1"/>
    <xf numFmtId="0" fontId="8" fillId="3" borderId="44" xfId="0" applyFont="1" applyFill="1" applyBorder="1" applyAlignment="1">
      <alignment wrapText="1"/>
    </xf>
    <xf numFmtId="0" fontId="8" fillId="2" borderId="0" xfId="0" applyFont="1" applyFill="1"/>
    <xf numFmtId="0" fontId="33" fillId="0" borderId="0" xfId="0" applyFont="1"/>
    <xf numFmtId="0" fontId="17" fillId="0" borderId="0" xfId="0" applyFont="1"/>
    <xf numFmtId="0" fontId="16" fillId="2" borderId="1" xfId="0" applyFont="1" applyFill="1" applyBorder="1"/>
    <xf numFmtId="0" fontId="17" fillId="2" borderId="1" xfId="0" applyFont="1" applyFill="1" applyBorder="1"/>
    <xf numFmtId="2" fontId="17" fillId="0" borderId="0" xfId="0" applyNumberFormat="1" applyFont="1" applyAlignment="1">
      <alignment horizontal="right"/>
    </xf>
    <xf numFmtId="0" fontId="16" fillId="0" borderId="0" xfId="0" applyFont="1"/>
    <xf numFmtId="165" fontId="17" fillId="0" borderId="0" xfId="0" applyNumberFormat="1" applyFont="1"/>
    <xf numFmtId="0" fontId="23" fillId="0" borderId="0" xfId="0" applyFont="1"/>
    <xf numFmtId="0" fontId="34" fillId="0" borderId="0" xfId="0" applyFont="1"/>
    <xf numFmtId="49" fontId="34" fillId="0" borderId="19" xfId="0" applyNumberFormat="1" applyFont="1" applyBorder="1" applyAlignment="1">
      <alignment horizontal="left"/>
    </xf>
    <xf numFmtId="0" fontId="34" fillId="0" borderId="0" xfId="0" applyFont="1" applyAlignment="1">
      <alignment horizontal="right"/>
    </xf>
    <xf numFmtId="49" fontId="34" fillId="0" borderId="0" xfId="0" applyNumberFormat="1" applyFont="1" applyAlignment="1">
      <alignment horizontal="left"/>
    </xf>
    <xf numFmtId="49" fontId="35" fillId="0" borderId="0" xfId="0" applyNumberFormat="1" applyFont="1" applyAlignment="1">
      <alignment horizontal="left"/>
    </xf>
    <xf numFmtId="165" fontId="16" fillId="0" borderId="0" xfId="0" applyNumberFormat="1" applyFont="1"/>
    <xf numFmtId="9" fontId="17" fillId="0" borderId="0" xfId="0" applyNumberFormat="1" applyFont="1"/>
    <xf numFmtId="167" fontId="17" fillId="0" borderId="0" xfId="2" applyNumberFormat="1" applyFont="1"/>
    <xf numFmtId="10" fontId="16" fillId="0" borderId="0" xfId="2" applyNumberFormat="1" applyFont="1"/>
    <xf numFmtId="2" fontId="17" fillId="0" borderId="0" xfId="0" applyNumberFormat="1" applyFont="1"/>
    <xf numFmtId="173" fontId="2" fillId="0" borderId="0" xfId="0" applyNumberFormat="1" applyFont="1"/>
    <xf numFmtId="0" fontId="36" fillId="13" borderId="45" xfId="0" applyFont="1" applyFill="1" applyBorder="1" applyAlignment="1">
      <alignment horizontal="right" vertical="center"/>
    </xf>
    <xf numFmtId="0" fontId="37" fillId="16" borderId="45" xfId="0" applyFont="1" applyFill="1" applyBorder="1" applyAlignment="1">
      <alignment horizontal="left" vertical="center"/>
    </xf>
    <xf numFmtId="0" fontId="2" fillId="14" borderId="0" xfId="0" applyFont="1" applyFill="1"/>
    <xf numFmtId="0" fontId="37" fillId="17" borderId="45" xfId="0" applyFont="1" applyFill="1" applyBorder="1" applyAlignment="1">
      <alignment horizontal="left" vertical="center"/>
    </xf>
    <xf numFmtId="176" fontId="38" fillId="15" borderId="0" xfId="0" applyNumberFormat="1" applyFont="1" applyFill="1" applyAlignment="1">
      <alignment horizontal="right" vertical="center" shrinkToFit="1"/>
    </xf>
    <xf numFmtId="3" fontId="38" fillId="15" borderId="0" xfId="0" applyNumberFormat="1" applyFont="1" applyFill="1" applyAlignment="1">
      <alignment horizontal="right" vertical="center" shrinkToFit="1"/>
    </xf>
    <xf numFmtId="175" fontId="38" fillId="15" borderId="0" xfId="0" applyNumberFormat="1" applyFont="1" applyFill="1" applyAlignment="1">
      <alignment horizontal="right" vertical="center" shrinkToFit="1"/>
    </xf>
    <xf numFmtId="0" fontId="15" fillId="0" borderId="0" xfId="0" applyFont="1"/>
    <xf numFmtId="0" fontId="3" fillId="2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30" fillId="7" borderId="7" xfId="4" applyFont="1" applyFill="1" applyBorder="1" applyAlignment="1">
      <alignment horizontal="center" vertical="center" wrapText="1"/>
    </xf>
    <xf numFmtId="0" fontId="27" fillId="0" borderId="8" xfId="4" applyFont="1" applyBorder="1"/>
    <xf numFmtId="0" fontId="27" fillId="0" borderId="9" xfId="4" applyFont="1" applyBorder="1"/>
    <xf numFmtId="0" fontId="26" fillId="0" borderId="0" xfId="4" applyFont="1" applyAlignment="1">
      <alignment horizontal="right"/>
    </xf>
    <xf numFmtId="0" fontId="27" fillId="0" borderId="0" xfId="4" applyFont="1"/>
    <xf numFmtId="0" fontId="28" fillId="0" borderId="0" xfId="4" applyFont="1" applyAlignment="1">
      <alignment horizontal="left"/>
    </xf>
    <xf numFmtId="0" fontId="29" fillId="6" borderId="6" xfId="4" applyFont="1" applyFill="1" applyBorder="1" applyAlignment="1">
      <alignment horizontal="center" vertical="center" wrapText="1"/>
    </xf>
    <xf numFmtId="0" fontId="34" fillId="0" borderId="0" xfId="0" applyFont="1" applyAlignment="1">
      <alignment horizontal="left" vertical="top" wrapText="1"/>
    </xf>
    <xf numFmtId="0" fontId="34" fillId="0" borderId="0" xfId="0" applyFont="1"/>
    <xf numFmtId="0" fontId="34" fillId="0" borderId="41" xfId="0" applyFont="1" applyBorder="1" applyAlignment="1">
      <alignment horizontal="center" vertical="center" wrapText="1"/>
    </xf>
    <xf numFmtId="0" fontId="34" fillId="0" borderId="42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0" fontId="36" fillId="13" borderId="45" xfId="0" applyFont="1" applyFill="1" applyBorder="1" applyAlignment="1">
      <alignment horizontal="left" vertical="center"/>
    </xf>
  </cellXfs>
  <cellStyles count="5">
    <cellStyle name="Comma" xfId="1" builtinId="3"/>
    <cellStyle name="Hyperlink" xfId="3" builtinId="8"/>
    <cellStyle name="Normal" xfId="0" builtinId="0"/>
    <cellStyle name="Normal 2" xfId="4" xr:uid="{DB4084AD-73B8-374C-A7F4-9A2814278808}"/>
    <cellStyle name="Percent" xfId="2" builtinId="5"/>
  </cellStyles>
  <dxfs count="27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F7A1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T&amp;S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Pipeline Disallowed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'Transport and Storage'!$J$7:$J$52</c:f>
              <c:numCache>
                <c:formatCode>0.00</c:formatCode>
                <c:ptCount val="46"/>
                <c:pt idx="0">
                  <c:v>124.066</c:v>
                </c:pt>
                <c:pt idx="1">
                  <c:v>123.60475</c:v>
                </c:pt>
                <c:pt idx="2">
                  <c:v>123.38949999999998</c:v>
                </c:pt>
                <c:pt idx="3">
                  <c:v>120.4785</c:v>
                </c:pt>
                <c:pt idx="4">
                  <c:v>118.11075</c:v>
                </c:pt>
                <c:pt idx="5">
                  <c:v>117.83399999999999</c:v>
                </c:pt>
                <c:pt idx="6">
                  <c:v>117.76224999999999</c:v>
                </c:pt>
                <c:pt idx="7">
                  <c:v>116.86024999999999</c:v>
                </c:pt>
                <c:pt idx="8">
                  <c:v>116.47074999999998</c:v>
                </c:pt>
                <c:pt idx="9">
                  <c:v>115.13824999999999</c:v>
                </c:pt>
                <c:pt idx="10">
                  <c:v>112.63724999999999</c:v>
                </c:pt>
                <c:pt idx="11">
                  <c:v>112.60649999999998</c:v>
                </c:pt>
                <c:pt idx="12">
                  <c:v>112.13499999999999</c:v>
                </c:pt>
                <c:pt idx="13">
                  <c:v>111.51999999999998</c:v>
                </c:pt>
                <c:pt idx="14">
                  <c:v>111.48924999999998</c:v>
                </c:pt>
                <c:pt idx="15">
                  <c:v>111.19199999999999</c:v>
                </c:pt>
                <c:pt idx="16">
                  <c:v>111.16125</c:v>
                </c:pt>
                <c:pt idx="17">
                  <c:v>111.15099999999998</c:v>
                </c:pt>
                <c:pt idx="18">
                  <c:v>110.94599999999998</c:v>
                </c:pt>
                <c:pt idx="19">
                  <c:v>110.80249999999998</c:v>
                </c:pt>
                <c:pt idx="20">
                  <c:v>109.61349999999999</c:v>
                </c:pt>
                <c:pt idx="21">
                  <c:v>107.36874999999999</c:v>
                </c:pt>
                <c:pt idx="22">
                  <c:v>105.91324999999999</c:v>
                </c:pt>
                <c:pt idx="23">
                  <c:v>105.23674999999999</c:v>
                </c:pt>
                <c:pt idx="24">
                  <c:v>102.16175</c:v>
                </c:pt>
                <c:pt idx="25">
                  <c:v>102.16175</c:v>
                </c:pt>
                <c:pt idx="26">
                  <c:v>102.05924999999998</c:v>
                </c:pt>
                <c:pt idx="27">
                  <c:v>101.49549999999999</c:v>
                </c:pt>
                <c:pt idx="28">
                  <c:v>101.02399999999999</c:v>
                </c:pt>
                <c:pt idx="29">
                  <c:v>100.90099999999998</c:v>
                </c:pt>
                <c:pt idx="30">
                  <c:v>99.670999999999992</c:v>
                </c:pt>
                <c:pt idx="31">
                  <c:v>98.953499999999991</c:v>
                </c:pt>
                <c:pt idx="32">
                  <c:v>98.502499999999984</c:v>
                </c:pt>
                <c:pt idx="33">
                  <c:v>97.600499999999997</c:v>
                </c:pt>
                <c:pt idx="34">
                  <c:v>97.210999999999999</c:v>
                </c:pt>
                <c:pt idx="35">
                  <c:v>96.790750000000003</c:v>
                </c:pt>
                <c:pt idx="36">
                  <c:v>96.380749999999992</c:v>
                </c:pt>
                <c:pt idx="37">
                  <c:v>95.837499999999991</c:v>
                </c:pt>
                <c:pt idx="38">
                  <c:v>95.13024999999999</c:v>
                </c:pt>
                <c:pt idx="39">
                  <c:v>93.47999999999999</c:v>
                </c:pt>
                <c:pt idx="40">
                  <c:v>92.608749999999986</c:v>
                </c:pt>
                <c:pt idx="41">
                  <c:v>89.174999999999997</c:v>
                </c:pt>
                <c:pt idx="42">
                  <c:v>83.742499999999993</c:v>
                </c:pt>
                <c:pt idx="43">
                  <c:v>83.137749999999997</c:v>
                </c:pt>
                <c:pt idx="44">
                  <c:v>82.54325</c:v>
                </c:pt>
                <c:pt idx="45">
                  <c:v>79.867999999999995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3-514A-AD02-8E474A6A4340}"/>
            </c:ext>
          </c:extLst>
        </c:ser>
        <c:ser>
          <c:idx val="1"/>
          <c:order val="1"/>
          <c:tx>
            <c:v>Pipeline Allowed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'Transport and Storage'!$J$53:$J$98</c:f>
              <c:numCache>
                <c:formatCode>0.00</c:formatCode>
                <c:ptCount val="46"/>
                <c:pt idx="0">
                  <c:v>116.86024999999999</c:v>
                </c:pt>
                <c:pt idx="1">
                  <c:v>87.606749999999991</c:v>
                </c:pt>
                <c:pt idx="2">
                  <c:v>85.997500000000002</c:v>
                </c:pt>
                <c:pt idx="3">
                  <c:v>85.997500000000002</c:v>
                </c:pt>
                <c:pt idx="4">
                  <c:v>85.772000000000006</c:v>
                </c:pt>
                <c:pt idx="5">
                  <c:v>84.849499999999992</c:v>
                </c:pt>
                <c:pt idx="6">
                  <c:v>84.767499999999998</c:v>
                </c:pt>
                <c:pt idx="7">
                  <c:v>84.767499999999998</c:v>
                </c:pt>
                <c:pt idx="8">
                  <c:v>84.767499999999998</c:v>
                </c:pt>
                <c:pt idx="9">
                  <c:v>80.400999999999996</c:v>
                </c:pt>
                <c:pt idx="10">
                  <c:v>79.345249999999993</c:v>
                </c:pt>
                <c:pt idx="11">
                  <c:v>79.119749999999996</c:v>
                </c:pt>
                <c:pt idx="12">
                  <c:v>78.484249999999989</c:v>
                </c:pt>
                <c:pt idx="13">
                  <c:v>78.381749999999997</c:v>
                </c:pt>
                <c:pt idx="14">
                  <c:v>77.797499999999999</c:v>
                </c:pt>
                <c:pt idx="15">
                  <c:v>77.41825</c:v>
                </c:pt>
                <c:pt idx="16">
                  <c:v>75.675749999999994</c:v>
                </c:pt>
                <c:pt idx="17">
                  <c:v>74.209999999999994</c:v>
                </c:pt>
                <c:pt idx="18">
                  <c:v>73.33874999999999</c:v>
                </c:pt>
                <c:pt idx="19">
                  <c:v>73.061999999999998</c:v>
                </c:pt>
                <c:pt idx="20">
                  <c:v>72.877499999999984</c:v>
                </c:pt>
                <c:pt idx="21">
                  <c:v>71.924250000000001</c:v>
                </c:pt>
                <c:pt idx="22">
                  <c:v>72.006249999999994</c:v>
                </c:pt>
                <c:pt idx="23">
                  <c:v>71.954999999999998</c:v>
                </c:pt>
                <c:pt idx="24">
                  <c:v>71.493749999999991</c:v>
                </c:pt>
                <c:pt idx="25">
                  <c:v>71.083749999999995</c:v>
                </c:pt>
                <c:pt idx="26">
                  <c:v>70.806999999999988</c:v>
                </c:pt>
                <c:pt idx="27">
                  <c:v>70.079250000000002</c:v>
                </c:pt>
                <c:pt idx="28">
                  <c:v>69.894749999999988</c:v>
                </c:pt>
                <c:pt idx="29">
                  <c:v>69.751249999999985</c:v>
                </c:pt>
                <c:pt idx="30">
                  <c:v>68.562249999999992</c:v>
                </c:pt>
                <c:pt idx="31">
                  <c:v>67.783249999999995</c:v>
                </c:pt>
                <c:pt idx="32">
                  <c:v>63.416749999999993</c:v>
                </c:pt>
                <c:pt idx="33">
                  <c:v>60.772249999999993</c:v>
                </c:pt>
                <c:pt idx="34">
                  <c:v>50.122499999999995</c:v>
                </c:pt>
                <c:pt idx="35">
                  <c:v>47.52924999999999</c:v>
                </c:pt>
                <c:pt idx="36">
                  <c:v>47.231999999999992</c:v>
                </c:pt>
                <c:pt idx="37">
                  <c:v>47.180749999999996</c:v>
                </c:pt>
                <c:pt idx="38">
                  <c:v>47.180749999999996</c:v>
                </c:pt>
                <c:pt idx="39">
                  <c:v>46.77075</c:v>
                </c:pt>
                <c:pt idx="40">
                  <c:v>46.77075</c:v>
                </c:pt>
                <c:pt idx="41">
                  <c:v>46.77075</c:v>
                </c:pt>
                <c:pt idx="42">
                  <c:v>44.936</c:v>
                </c:pt>
                <c:pt idx="43">
                  <c:v>44.792499999999997</c:v>
                </c:pt>
                <c:pt idx="44">
                  <c:v>42.886000000000003</c:v>
                </c:pt>
                <c:pt idx="45">
                  <c:v>38.375999999999998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73-514A-AD02-8E474A6A4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587328"/>
        <c:axId val="1372598080"/>
      </c:lineChart>
      <c:catAx>
        <c:axId val="1372587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72598080"/>
        <c:crosses val="autoZero"/>
        <c:auto val="1"/>
        <c:lblAlgn val="ctr"/>
        <c:lblOffset val="100"/>
        <c:noMultiLvlLbl val="0"/>
      </c:catAx>
      <c:valAx>
        <c:axId val="137259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7258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National</a:t>
            </a:r>
            <a:r>
              <a:rPr lang="en-US" baseline="0"/>
              <a:t> Cost Distributions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'RQ1'!$B$12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'RQ1'!$C$11:$F$11</c:f>
              <c:strCache>
                <c:ptCount val="4"/>
                <c:pt idx="0">
                  <c:v>Germany - Pipeline</c:v>
                </c:pt>
                <c:pt idx="1">
                  <c:v>Germany - No Pipeline</c:v>
                </c:pt>
                <c:pt idx="2">
                  <c:v>Denmark - Pipeline</c:v>
                </c:pt>
                <c:pt idx="3">
                  <c:v>Denmark - No Pipeline</c:v>
                </c:pt>
              </c:strCache>
            </c:strRef>
          </c:cat>
          <c:val>
            <c:numRef>
              <c:f>'RQ1'!$C$12:$F$12</c:f>
              <c:numCache>
                <c:formatCode>_(* #,##0.00_);_(* \(#,##0.00\);_(* "-"??_);_(@_)</c:formatCode>
                <c:ptCount val="4"/>
                <c:pt idx="0">
                  <c:v>53.335184113631534</c:v>
                </c:pt>
                <c:pt idx="1">
                  <c:v>53.335184113631534</c:v>
                </c:pt>
                <c:pt idx="2">
                  <c:v>52.962559798434199</c:v>
                </c:pt>
                <c:pt idx="3">
                  <c:v>52.962559798434199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6-B549-876F-2EABD99030C0}"/>
            </c:ext>
          </c:extLst>
        </c:ser>
        <c:ser>
          <c:idx val="1"/>
          <c:order val="1"/>
          <c:tx>
            <c:strRef>
              <c:f>'RQ1'!$B$13</c:f>
              <c:strCache>
                <c:ptCount val="1"/>
                <c:pt idx="0">
                  <c:v>Fixed Opex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'RQ1'!$C$11:$F$11</c:f>
              <c:strCache>
                <c:ptCount val="4"/>
                <c:pt idx="0">
                  <c:v>Germany - Pipeline</c:v>
                </c:pt>
                <c:pt idx="1">
                  <c:v>Germany - No Pipeline</c:v>
                </c:pt>
                <c:pt idx="2">
                  <c:v>Denmark - Pipeline</c:v>
                </c:pt>
                <c:pt idx="3">
                  <c:v>Denmark - No Pipeline</c:v>
                </c:pt>
              </c:strCache>
            </c:strRef>
          </c:cat>
          <c:val>
            <c:numRef>
              <c:f>'RQ1'!$C$13:$F$13</c:f>
              <c:numCache>
                <c:formatCode>_(* #,##0.00_);_(* \(#,##0.00\);_(* "-"??_);_(@_)</c:formatCode>
                <c:ptCount val="4"/>
                <c:pt idx="0">
                  <c:v>15.661893524157692</c:v>
                </c:pt>
                <c:pt idx="1">
                  <c:v>15.661893524157692</c:v>
                </c:pt>
                <c:pt idx="2">
                  <c:v>15.552472277261851</c:v>
                </c:pt>
                <c:pt idx="3">
                  <c:v>15.552472277261851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6-B549-876F-2EABD99030C0}"/>
            </c:ext>
          </c:extLst>
        </c:ser>
        <c:ser>
          <c:idx val="2"/>
          <c:order val="2"/>
          <c:tx>
            <c:strRef>
              <c:f>'RQ1'!$B$14</c:f>
              <c:strCache>
                <c:ptCount val="1"/>
                <c:pt idx="0">
                  <c:v>Variable Opex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'RQ1'!$C$11:$F$11</c:f>
              <c:strCache>
                <c:ptCount val="4"/>
                <c:pt idx="0">
                  <c:v>Germany - Pipeline</c:v>
                </c:pt>
                <c:pt idx="1">
                  <c:v>Germany - No Pipeline</c:v>
                </c:pt>
                <c:pt idx="2">
                  <c:v>Denmark - Pipeline</c:v>
                </c:pt>
                <c:pt idx="3">
                  <c:v>Denmark - No Pipeline</c:v>
                </c:pt>
              </c:strCache>
            </c:strRef>
          </c:cat>
          <c:val>
            <c:numRef>
              <c:f>'RQ1'!$C$14:$F$14</c:f>
              <c:numCache>
                <c:formatCode>_(* #,##0.00_);_(* \(#,##0.00\);_(* "-"??_);_(@_)</c:formatCode>
                <c:ptCount val="4"/>
                <c:pt idx="0">
                  <c:v>4.3245195290365723</c:v>
                </c:pt>
                <c:pt idx="1">
                  <c:v>4.3245195290365723</c:v>
                </c:pt>
                <c:pt idx="2">
                  <c:v>4.2943064313442196</c:v>
                </c:pt>
                <c:pt idx="3">
                  <c:v>4.2943064313442196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C6-B549-876F-2EABD99030C0}"/>
            </c:ext>
          </c:extLst>
        </c:ser>
        <c:ser>
          <c:idx val="3"/>
          <c:order val="3"/>
          <c:tx>
            <c:strRef>
              <c:f>'RQ1'!$B$15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'RQ1'!$C$11:$F$11</c:f>
              <c:strCache>
                <c:ptCount val="4"/>
                <c:pt idx="0">
                  <c:v>Germany - Pipeline</c:v>
                </c:pt>
                <c:pt idx="1">
                  <c:v>Germany - No Pipeline</c:v>
                </c:pt>
                <c:pt idx="2">
                  <c:v>Denmark - Pipeline</c:v>
                </c:pt>
                <c:pt idx="3">
                  <c:v>Denmark - No Pipeline</c:v>
                </c:pt>
              </c:strCache>
            </c:strRef>
          </c:cat>
          <c:val>
            <c:numRef>
              <c:f>'RQ1'!$C$15:$F$15</c:f>
              <c:numCache>
                <c:formatCode>_(* #,##0.00_);_(* \(#,##0.00\);_(* "-"??_);_(@_)</c:formatCode>
                <c:ptCount val="4"/>
                <c:pt idx="0">
                  <c:v>66.249650899999338</c:v>
                </c:pt>
                <c:pt idx="1">
                  <c:v>66.249650899999338</c:v>
                </c:pt>
                <c:pt idx="2">
                  <c:v>76.312688155940975</c:v>
                </c:pt>
                <c:pt idx="3">
                  <c:v>76.312688155940975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C6-B549-876F-2EABD99030C0}"/>
            </c:ext>
          </c:extLst>
        </c:ser>
        <c:ser>
          <c:idx val="4"/>
          <c:order val="4"/>
          <c:tx>
            <c:strRef>
              <c:f>'RQ1'!$B$16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'RQ1'!$C$11:$F$11</c:f>
              <c:strCache>
                <c:ptCount val="4"/>
                <c:pt idx="0">
                  <c:v>Germany - Pipeline</c:v>
                </c:pt>
                <c:pt idx="1">
                  <c:v>Germany - No Pipeline</c:v>
                </c:pt>
                <c:pt idx="2">
                  <c:v>Denmark - Pipeline</c:v>
                </c:pt>
                <c:pt idx="3">
                  <c:v>Denmark - No Pipeline</c:v>
                </c:pt>
              </c:strCache>
            </c:strRef>
          </c:cat>
          <c:val>
            <c:numRef>
              <c:f>'RQ1'!$C$16:$F$16</c:f>
              <c:numCache>
                <c:formatCode>_(* #,##0.00_);_(* \(#,##0.00\);_(* "-"??_);_(@_)</c:formatCode>
                <c:ptCount val="4"/>
                <c:pt idx="0">
                  <c:v>7.2025618362919452</c:v>
                </c:pt>
                <c:pt idx="1">
                  <c:v>7.2025618362919452</c:v>
                </c:pt>
                <c:pt idx="2">
                  <c:v>4.6645052616325149</c:v>
                </c:pt>
                <c:pt idx="3">
                  <c:v>4.6645052616325149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C6-B549-876F-2EABD99030C0}"/>
            </c:ext>
          </c:extLst>
        </c:ser>
        <c:ser>
          <c:idx val="5"/>
          <c:order val="5"/>
          <c:tx>
            <c:strRef>
              <c:f>'RQ1'!$B$17</c:f>
              <c:strCache>
                <c:ptCount val="1"/>
                <c:pt idx="0">
                  <c:v>Transport and Storage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'RQ1'!$C$11:$F$11</c:f>
              <c:strCache>
                <c:ptCount val="4"/>
                <c:pt idx="0">
                  <c:v>Germany - Pipeline</c:v>
                </c:pt>
                <c:pt idx="1">
                  <c:v>Germany - No Pipeline</c:v>
                </c:pt>
                <c:pt idx="2">
                  <c:v>Denmark - Pipeline</c:v>
                </c:pt>
                <c:pt idx="3">
                  <c:v>Denmark - No Pipeline</c:v>
                </c:pt>
              </c:strCache>
            </c:strRef>
          </c:cat>
          <c:val>
            <c:numRef>
              <c:f>'RQ1'!$C$17:$F$17</c:f>
              <c:numCache>
                <c:formatCode>_(* #,##0.00_);_(* \(#,##0.00\);_(* "-"??_);_(@_)</c:formatCode>
                <c:ptCount val="4"/>
                <c:pt idx="0">
                  <c:v>91.196340211195334</c:v>
                </c:pt>
                <c:pt idx="1">
                  <c:v>133.83519329989474</c:v>
                </c:pt>
                <c:pt idx="2">
                  <c:v>42.966750308411434</c:v>
                </c:pt>
                <c:pt idx="3">
                  <c:v>43.689314277561905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FC6-B549-876F-2EABD9903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1788288"/>
        <c:axId val="1961790080"/>
      </c:barChart>
      <c:catAx>
        <c:axId val="196178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61790080"/>
        <c:crosses val="autoZero"/>
        <c:auto val="1"/>
        <c:lblAlgn val="ctr"/>
        <c:lblOffset val="100"/>
        <c:noMultiLvlLbl val="0"/>
      </c:catAx>
      <c:valAx>
        <c:axId val="196179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6178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differences in</a:t>
            </a:r>
            <a:r>
              <a:rPr lang="en-US" baseline="0"/>
              <a:t> tranport modes depending on 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'RQ1'!$J$18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'RQ1'!$I$19:$I$21</c:f>
              <c:strCache>
                <c:ptCount val="3"/>
                <c:pt idx="0">
                  <c:v>Barge</c:v>
                </c:pt>
                <c:pt idx="1">
                  <c:v>Pipeline</c:v>
                </c:pt>
                <c:pt idx="2">
                  <c:v>Rail</c:v>
                </c:pt>
              </c:strCache>
            </c:strRef>
          </c:cat>
          <c:val>
            <c:numRef>
              <c:f>'RQ1'!$J$19:$J$21</c:f>
              <c:numCache>
                <c:formatCode>_(* #,##0.00_);_(* \(#,##0.00\);_(* "-"??_);_(@_)</c:formatCode>
                <c:ptCount val="3"/>
                <c:pt idx="1">
                  <c:v>20.245249999999999</c:v>
                </c:pt>
                <c:pt idx="2">
                  <c:v>60.26850000000001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6-1946-946E-953145CDCB91}"/>
            </c:ext>
          </c:extLst>
        </c:ser>
        <c:ser>
          <c:idx val="1"/>
          <c:order val="1"/>
          <c:tx>
            <c:strRef>
              <c:f>'RQ1'!$K$18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'RQ1'!$I$19:$I$21</c:f>
              <c:strCache>
                <c:ptCount val="3"/>
                <c:pt idx="0">
                  <c:v>Barge</c:v>
                </c:pt>
                <c:pt idx="1">
                  <c:v>Pipeline</c:v>
                </c:pt>
                <c:pt idx="2">
                  <c:v>Rail</c:v>
                </c:pt>
              </c:strCache>
            </c:strRef>
          </c:cat>
          <c:val>
            <c:numRef>
              <c:f>'RQ1'!$K$19:$K$21</c:f>
              <c:numCache>
                <c:formatCode>_(* #,##0.00_);_(* \(#,##0.00\);_(* "-"??_);_(@_)</c:formatCode>
                <c:ptCount val="3"/>
                <c:pt idx="0">
                  <c:v>38.865035714285703</c:v>
                </c:pt>
                <c:pt idx="1">
                  <c:v>34.503386363636359</c:v>
                </c:pt>
                <c:pt idx="2">
                  <c:v>62.003161764705872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46-1946-946E-953145CDC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262720"/>
        <c:axId val="1892745216"/>
      </c:barChart>
      <c:catAx>
        <c:axId val="211426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92745216"/>
        <c:crosses val="autoZero"/>
        <c:auto val="1"/>
        <c:lblAlgn val="ctr"/>
        <c:lblOffset val="100"/>
        <c:noMultiLvlLbl val="0"/>
      </c:catAx>
      <c:valAx>
        <c:axId val="18927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11426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Germany Pipeline</a:t>
            </a:r>
            <a:r>
              <a:rPr lang="en-US" baseline="0"/>
              <a:t> - Sensitivities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86953254039694E-2"/>
          <c:y val="0.18125226848325465"/>
          <c:w val="0.72710429792944442"/>
          <c:h val="0.6147335842144968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'RQ1'!$C$44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'RQ1'!$B$45:$B$48</c:f>
              <c:strCache>
                <c:ptCount val="4"/>
                <c:pt idx="0">
                  <c:v>T&amp;S Sensitivity</c:v>
                </c:pt>
                <c:pt idx="1">
                  <c:v>Gas Price in €/kwh</c:v>
                </c:pt>
                <c:pt idx="2">
                  <c:v>Electricity Price in €/kwh</c:v>
                </c:pt>
                <c:pt idx="3">
                  <c:v>WACC</c:v>
                </c:pt>
              </c:strCache>
            </c:strRef>
          </c:cat>
          <c:val>
            <c:numRef>
              <c:f>'RQ1'!$C$45:$C$48</c:f>
              <c:numCache>
                <c:formatCode>0.00%</c:formatCode>
                <c:ptCount val="4"/>
                <c:pt idx="0">
                  <c:v>-0.17877463545825106</c:v>
                </c:pt>
                <c:pt idx="1">
                  <c:v>-5.5679287305122498E-2</c:v>
                </c:pt>
                <c:pt idx="2">
                  <c:v>-6.0469807118544057E-3</c:v>
                </c:pt>
                <c:pt idx="3">
                  <c:v>-3.3853006681514523E-2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8-1E43-A0CE-CF0CCAEE77EE}"/>
            </c:ext>
          </c:extLst>
        </c:ser>
        <c:ser>
          <c:idx val="1"/>
          <c:order val="1"/>
          <c:tx>
            <c:strRef>
              <c:f>'RQ1'!$D$44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'RQ1'!$B$45:$B$48</c:f>
              <c:strCache>
                <c:ptCount val="4"/>
                <c:pt idx="0">
                  <c:v>T&amp;S Sensitivity</c:v>
                </c:pt>
                <c:pt idx="1">
                  <c:v>Gas Price in €/kwh</c:v>
                </c:pt>
                <c:pt idx="2">
                  <c:v>Electricity Price in €/kwh</c:v>
                </c:pt>
                <c:pt idx="3">
                  <c:v>WACC</c:v>
                </c:pt>
              </c:strCache>
            </c:strRef>
          </c:cat>
          <c:val>
            <c:numRef>
              <c:f>'RQ1'!$D$45:$D$48</c:f>
              <c:numCache>
                <c:formatCode>0.00%</c:formatCode>
                <c:ptCount val="4"/>
                <c:pt idx="0">
                  <c:v>0.23929486910114731</c:v>
                </c:pt>
                <c:pt idx="1">
                  <c:v>5.5679287305122498E-2</c:v>
                </c:pt>
                <c:pt idx="2">
                  <c:v>6.0469807118544057E-3</c:v>
                </c:pt>
                <c:pt idx="3">
                  <c:v>3.7866117577845929E-2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58-1E43-A0CE-CF0CCAEE7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6721664"/>
        <c:axId val="1876723456"/>
      </c:barChart>
      <c:catAx>
        <c:axId val="18767216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76723456"/>
        <c:crosses val="max"/>
        <c:auto val="1"/>
        <c:lblAlgn val="ctr"/>
        <c:lblOffset val="100"/>
        <c:noMultiLvlLbl val="0"/>
      </c:catAx>
      <c:valAx>
        <c:axId val="187672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7672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Germany No</a:t>
            </a:r>
            <a:r>
              <a:rPr lang="en-US" baseline="0"/>
              <a:t> Pipeline - Sensitivities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'RQ1'!$C$66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'RQ1'!$B$67:$B$70</c:f>
              <c:strCache>
                <c:ptCount val="4"/>
                <c:pt idx="0">
                  <c:v>T&amp;S Sensitivity</c:v>
                </c:pt>
                <c:pt idx="1">
                  <c:v>Gas Price in €/kwh</c:v>
                </c:pt>
                <c:pt idx="2">
                  <c:v>Electricity Price in €/kwh</c:v>
                </c:pt>
                <c:pt idx="3">
                  <c:v>WACC</c:v>
                </c:pt>
              </c:strCache>
            </c:strRef>
          </c:cat>
          <c:val>
            <c:numRef>
              <c:f>'RQ1'!$C$67:$C$70</c:f>
              <c:numCache>
                <c:formatCode>0.00%</c:formatCode>
                <c:ptCount val="4"/>
                <c:pt idx="0">
                  <c:v>-0.11612599738426062</c:v>
                </c:pt>
                <c:pt idx="1">
                  <c:v>-4.7218727838380097E-2</c:v>
                </c:pt>
                <c:pt idx="2">
                  <c:v>-5.128132027126588E-3</c:v>
                </c:pt>
                <c:pt idx="3">
                  <c:v>-2.8708986525735041E-2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D-6E42-B5DF-44A910787478}"/>
            </c:ext>
          </c:extLst>
        </c:ser>
        <c:ser>
          <c:idx val="1"/>
          <c:order val="1"/>
          <c:tx>
            <c:strRef>
              <c:f>'RQ1'!$D$66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'RQ1'!$B$67:$B$70</c:f>
              <c:strCache>
                <c:ptCount val="4"/>
                <c:pt idx="0">
                  <c:v>T&amp;S Sensitivity</c:v>
                </c:pt>
                <c:pt idx="1">
                  <c:v>Gas Price in €/kwh</c:v>
                </c:pt>
                <c:pt idx="2">
                  <c:v>Electricity Price in €/kwh</c:v>
                </c:pt>
                <c:pt idx="3">
                  <c:v>WACC</c:v>
                </c:pt>
              </c:strCache>
            </c:strRef>
          </c:cat>
          <c:val>
            <c:numRef>
              <c:f>'RQ1'!$D$67:$D$70</c:f>
              <c:numCache>
                <c:formatCode>0.00%</c:formatCode>
                <c:ptCount val="4"/>
                <c:pt idx="0">
                  <c:v>8.355398436971026E-2</c:v>
                </c:pt>
                <c:pt idx="1">
                  <c:v>4.7218727838380097E-2</c:v>
                </c:pt>
                <c:pt idx="2">
                  <c:v>5.1281320271267901E-3</c:v>
                </c:pt>
                <c:pt idx="3">
                  <c:v>3.2108734930098637E-2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2D-6E42-B5DF-44A910787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5238400"/>
        <c:axId val="1884864512"/>
      </c:barChart>
      <c:catAx>
        <c:axId val="191523840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84864512"/>
        <c:crosses val="max"/>
        <c:auto val="1"/>
        <c:lblAlgn val="ctr"/>
        <c:lblOffset val="100"/>
        <c:noMultiLvlLbl val="0"/>
      </c:catAx>
      <c:valAx>
        <c:axId val="188486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1523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Denmark</a:t>
            </a:r>
            <a:r>
              <a:rPr lang="en-US" baseline="0"/>
              <a:t> Pipeline - Sensitivities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'RQ1'!$C$89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'RQ1'!$B$90:$B$92</c:f>
              <c:strCache>
                <c:ptCount val="3"/>
                <c:pt idx="0">
                  <c:v>Gas Price in €/kwh</c:v>
                </c:pt>
                <c:pt idx="1">
                  <c:v>Electricity Price in €/kwh</c:v>
                </c:pt>
                <c:pt idx="2">
                  <c:v>WACC</c:v>
                </c:pt>
              </c:strCache>
            </c:strRef>
          </c:cat>
          <c:val>
            <c:numRef>
              <c:f>'RQ1'!$C$90:$C$92</c:f>
              <c:numCache>
                <c:formatCode>0.00%</c:formatCode>
                <c:ptCount val="3"/>
                <c:pt idx="0">
                  <c:v>-7.7569338205770555E-2</c:v>
                </c:pt>
                <c:pt idx="1">
                  <c:v>-4.7419861450650955E-3</c:v>
                </c:pt>
                <c:pt idx="2">
                  <c:v>-4.0151865536992973E-2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F-7642-BF2A-6755F9338DAB}"/>
            </c:ext>
          </c:extLst>
        </c:ser>
        <c:ser>
          <c:idx val="1"/>
          <c:order val="1"/>
          <c:tx>
            <c:strRef>
              <c:f>'RQ1'!$D$89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'RQ1'!$B$90:$B$92</c:f>
              <c:strCache>
                <c:ptCount val="3"/>
                <c:pt idx="0">
                  <c:v>Gas Price in €/kwh</c:v>
                </c:pt>
                <c:pt idx="1">
                  <c:v>Electricity Price in €/kwh</c:v>
                </c:pt>
                <c:pt idx="2">
                  <c:v>WACC</c:v>
                </c:pt>
              </c:strCache>
            </c:strRef>
          </c:cat>
          <c:val>
            <c:numRef>
              <c:f>'RQ1'!$D$90:$D$92</c:f>
              <c:numCache>
                <c:formatCode>0.00%</c:formatCode>
                <c:ptCount val="3"/>
                <c:pt idx="0">
                  <c:v>7.7574420720395651E-2</c:v>
                </c:pt>
                <c:pt idx="1">
                  <c:v>4.7419861450652403E-3</c:v>
                </c:pt>
                <c:pt idx="2">
                  <c:v>4.5031079576931553E-2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4F-7642-BF2A-6755F9338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3261952"/>
        <c:axId val="1876730624"/>
      </c:barChart>
      <c:catAx>
        <c:axId val="211326195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76730624"/>
        <c:crosses val="max"/>
        <c:auto val="1"/>
        <c:lblAlgn val="ctr"/>
        <c:lblOffset val="100"/>
        <c:noMultiLvlLbl val="0"/>
      </c:catAx>
      <c:valAx>
        <c:axId val="187673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11326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Denmark</a:t>
            </a:r>
            <a:r>
              <a:rPr lang="en-US" baseline="0"/>
              <a:t> Pipeline - Sensitivities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'RQ1'!$C$111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'RQ1'!$B$112:$B$114</c:f>
              <c:strCache>
                <c:ptCount val="3"/>
                <c:pt idx="0">
                  <c:v>Gas Price in €/kwh</c:v>
                </c:pt>
                <c:pt idx="1">
                  <c:v>Electricity Price in €/kwh</c:v>
                </c:pt>
                <c:pt idx="2">
                  <c:v>WACC</c:v>
                </c:pt>
              </c:strCache>
            </c:strRef>
          </c:cat>
          <c:val>
            <c:numRef>
              <c:f>'RQ1'!$C$112:$C$114</c:f>
              <c:numCache>
                <c:formatCode>0.00%</c:formatCode>
                <c:ptCount val="3"/>
                <c:pt idx="0">
                  <c:v>-7.7290404909963764E-2</c:v>
                </c:pt>
                <c:pt idx="1">
                  <c:v>-4.7246247645283106E-3</c:v>
                </c:pt>
                <c:pt idx="2">
                  <c:v>-4.000992525674011E-2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5-ED4E-B083-47F1D5BCA8BC}"/>
            </c:ext>
          </c:extLst>
        </c:ser>
        <c:ser>
          <c:idx val="1"/>
          <c:order val="1"/>
          <c:tx>
            <c:strRef>
              <c:f>'RQ1'!$D$111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'RQ1'!$B$112:$B$114</c:f>
              <c:strCache>
                <c:ptCount val="3"/>
                <c:pt idx="0">
                  <c:v>Gas Price in €/kwh</c:v>
                </c:pt>
                <c:pt idx="1">
                  <c:v>Electricity Price in €/kwh</c:v>
                </c:pt>
                <c:pt idx="2">
                  <c:v>WACC</c:v>
                </c:pt>
              </c:strCache>
            </c:strRef>
          </c:cat>
          <c:val>
            <c:numRef>
              <c:f>'RQ1'!$D$112:$D$114</c:f>
              <c:numCache>
                <c:formatCode>0.00%</c:formatCode>
                <c:ptCount val="3"/>
                <c:pt idx="0">
                  <c:v>7.7285341003463709E-2</c:v>
                </c:pt>
                <c:pt idx="1">
                  <c:v>4.7246247645283106E-3</c:v>
                </c:pt>
                <c:pt idx="2">
                  <c:v>4.4861147683769212E-2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85-ED4E-B083-47F1D5BCA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3261952"/>
        <c:axId val="1876730624"/>
      </c:barChart>
      <c:catAx>
        <c:axId val="211326195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76730624"/>
        <c:crosses val="max"/>
        <c:auto val="1"/>
        <c:lblAlgn val="ctr"/>
        <c:lblOffset val="100"/>
        <c:noMultiLvlLbl val="0"/>
      </c:catAx>
      <c:valAx>
        <c:axId val="187673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11326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 Cost Gap</a:t>
            </a:r>
            <a:r>
              <a:rPr lang="en-US" baseline="0"/>
              <a:t> -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'RQ2'!$C$4</c:f>
              <c:strCache>
                <c:ptCount val="1"/>
                <c:pt idx="0">
                  <c:v>Germany - Pipeline</c:v>
                </c:pt>
              </c:strCache>
            </c:strRef>
          </c:tx>
          <c:spPr>
            <a:solidFill>
              <a:schemeClr val="accent4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'RQ2'!$B$5:$B$11</c:f>
              <c:strCache>
                <c:ptCount val="7"/>
                <c:pt idx="0">
                  <c:v>S1 - Baseline</c:v>
                </c:pt>
                <c:pt idx="1">
                  <c:v>S2 - Transport</c:v>
                </c:pt>
                <c:pt idx="2">
                  <c:v>S3 - Investment Grant</c:v>
                </c:pt>
                <c:pt idx="3">
                  <c:v>S4 - CCfD</c:v>
                </c:pt>
                <c:pt idx="4">
                  <c:v>S5 - T&amp;S Support</c:v>
                </c:pt>
                <c:pt idx="5">
                  <c:v>S6 - Grant + CCfD</c:v>
                </c:pt>
                <c:pt idx="6">
                  <c:v>S7 - CCfD + T&amp;S Support</c:v>
                </c:pt>
              </c:strCache>
            </c:strRef>
          </c:cat>
          <c:val>
            <c:numRef>
              <c:f>'RQ2'!$C$5:$C$11</c:f>
              <c:numCache>
                <c:formatCode>_(* #,##0.00_);_(* \(#,##0.00\);_(* "-"??_);_(@_)</c:formatCode>
                <c:ptCount val="7"/>
                <c:pt idx="0">
                  <c:v>69.270809999999997</c:v>
                </c:pt>
                <c:pt idx="1">
                  <c:v>162.75029000000001</c:v>
                </c:pt>
                <c:pt idx="2">
                  <c:v>96.664490000000001</c:v>
                </c:pt>
                <c:pt idx="3">
                  <c:v>117.81555</c:v>
                </c:pt>
                <c:pt idx="4">
                  <c:v>131.12665999999999</c:v>
                </c:pt>
                <c:pt idx="5">
                  <c:v>51.729750000000003</c:v>
                </c:pt>
                <c:pt idx="6">
                  <c:v>86.191919999999996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F-F145-98AB-B3CBE9D6FE72}"/>
            </c:ext>
          </c:extLst>
        </c:ser>
        <c:ser>
          <c:idx val="1"/>
          <c:order val="1"/>
          <c:tx>
            <c:strRef>
              <c:f>'RQ2'!$D$4</c:f>
              <c:strCache>
                <c:ptCount val="1"/>
                <c:pt idx="0">
                  <c:v>Germany - No Pipeline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'RQ2'!$B$5:$B$11</c:f>
              <c:strCache>
                <c:ptCount val="7"/>
                <c:pt idx="0">
                  <c:v>S1 - Baseline</c:v>
                </c:pt>
                <c:pt idx="1">
                  <c:v>S2 - Transport</c:v>
                </c:pt>
                <c:pt idx="2">
                  <c:v>S3 - Investment Grant</c:v>
                </c:pt>
                <c:pt idx="3">
                  <c:v>S4 - CCfD</c:v>
                </c:pt>
                <c:pt idx="4">
                  <c:v>S5 - T&amp;S Support</c:v>
                </c:pt>
                <c:pt idx="5">
                  <c:v>S6 - Grant + CCfD</c:v>
                </c:pt>
                <c:pt idx="6">
                  <c:v>S7 - CCfD + T&amp;S Support</c:v>
                </c:pt>
              </c:strCache>
            </c:strRef>
          </c:cat>
          <c:val>
            <c:numRef>
              <c:f>'RQ2'!$D$5:$D$11</c:f>
              <c:numCache>
                <c:formatCode>_(* #,##0.00_);_(* \(#,##0.00\);_(* "-"??_);_(@_)</c:formatCode>
                <c:ptCount val="7"/>
                <c:pt idx="0">
                  <c:v>69.270809999999997</c:v>
                </c:pt>
                <c:pt idx="1">
                  <c:v>205.38914</c:v>
                </c:pt>
                <c:pt idx="2">
                  <c:v>127.19889000000001</c:v>
                </c:pt>
                <c:pt idx="3">
                  <c:v>160.45441</c:v>
                </c:pt>
                <c:pt idx="4">
                  <c:v>173.76551000000001</c:v>
                </c:pt>
                <c:pt idx="5">
                  <c:v>82.264150000000001</c:v>
                </c:pt>
                <c:pt idx="6">
                  <c:v>128.83078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5F-F145-98AB-B3CBE9D6FE72}"/>
            </c:ext>
          </c:extLst>
        </c:ser>
        <c:ser>
          <c:idx val="2"/>
          <c:order val="2"/>
          <c:tx>
            <c:strRef>
              <c:f>'RQ2'!$E$4</c:f>
              <c:strCache>
                <c:ptCount val="1"/>
                <c:pt idx="0">
                  <c:v>Denmark - Pipeline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'RQ2'!$B$5:$B$11</c:f>
              <c:strCache>
                <c:ptCount val="7"/>
                <c:pt idx="0">
                  <c:v>S1 - Baseline</c:v>
                </c:pt>
                <c:pt idx="1">
                  <c:v>S2 - Transport</c:v>
                </c:pt>
                <c:pt idx="2">
                  <c:v>S3 - Investment Grant</c:v>
                </c:pt>
                <c:pt idx="3">
                  <c:v>S4 - CCfD</c:v>
                </c:pt>
                <c:pt idx="4">
                  <c:v>S5 - T&amp;S Support</c:v>
                </c:pt>
                <c:pt idx="5">
                  <c:v>S6 - Grant + CCfD</c:v>
                </c:pt>
                <c:pt idx="6">
                  <c:v>S7 - CCfD + T&amp;S Support</c:v>
                </c:pt>
              </c:strCache>
            </c:strRef>
          </c:cat>
          <c:val>
            <c:numRef>
              <c:f>'RQ2'!$E$5:$E$11</c:f>
              <c:numCache>
                <c:formatCode>_(* #,##0.00_);_(* \(#,##0.00\);_(* "-"??_);_(@_)</c:formatCode>
                <c:ptCount val="7"/>
                <c:pt idx="0">
                  <c:v>55.666930000000001</c:v>
                </c:pt>
                <c:pt idx="1">
                  <c:v>100.45563</c:v>
                </c:pt>
                <c:pt idx="2">
                  <c:v>46.044330000000002</c:v>
                </c:pt>
                <c:pt idx="3">
                  <c:v>42.398229999999998</c:v>
                </c:pt>
                <c:pt idx="4">
                  <c:v>69.052940000000007</c:v>
                </c:pt>
                <c:pt idx="5">
                  <c:v>-12.013059999999999</c:v>
                </c:pt>
                <c:pt idx="6">
                  <c:v>17.59374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5F-F145-98AB-B3CBE9D6FE72}"/>
            </c:ext>
          </c:extLst>
        </c:ser>
        <c:ser>
          <c:idx val="3"/>
          <c:order val="3"/>
          <c:tx>
            <c:strRef>
              <c:f>'RQ2'!$F$4</c:f>
              <c:strCache>
                <c:ptCount val="1"/>
                <c:pt idx="0">
                  <c:v>Denmark - No Pipeline</c:v>
                </c:pt>
              </c:strCache>
            </c:strRef>
          </c:tx>
          <c:spPr>
            <a:solidFill>
              <a:schemeClr val="accent4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'RQ2'!$B$5:$B$11</c:f>
              <c:strCache>
                <c:ptCount val="7"/>
                <c:pt idx="0">
                  <c:v>S1 - Baseline</c:v>
                </c:pt>
                <c:pt idx="1">
                  <c:v>S2 - Transport</c:v>
                </c:pt>
                <c:pt idx="2">
                  <c:v>S3 - Investment Grant</c:v>
                </c:pt>
                <c:pt idx="3">
                  <c:v>S4 - CCfD</c:v>
                </c:pt>
                <c:pt idx="4">
                  <c:v>S5 - T&amp;S Support</c:v>
                </c:pt>
                <c:pt idx="5">
                  <c:v>S6 - Grant + CCfD</c:v>
                </c:pt>
                <c:pt idx="6">
                  <c:v>S7 - CCfD + T&amp;S Support</c:v>
                </c:pt>
              </c:strCache>
            </c:strRef>
          </c:cat>
          <c:val>
            <c:numRef>
              <c:f>'RQ2'!$F$5:$F$11</c:f>
              <c:numCache>
                <c:formatCode>_(* #,##0.00_);_(* \(#,##0.00\);_(* "-"??_);_(@_)</c:formatCode>
                <c:ptCount val="7"/>
                <c:pt idx="0">
                  <c:v>55.666930000000001</c:v>
                </c:pt>
                <c:pt idx="1">
                  <c:v>101.17819</c:v>
                </c:pt>
                <c:pt idx="2">
                  <c:v>46.537909999999997</c:v>
                </c:pt>
                <c:pt idx="3">
                  <c:v>43.12079</c:v>
                </c:pt>
                <c:pt idx="4">
                  <c:v>69.775499999999994</c:v>
                </c:pt>
                <c:pt idx="5">
                  <c:v>-11.519489999999999</c:v>
                </c:pt>
                <c:pt idx="6">
                  <c:v>18.18412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5F-F145-98AB-B3CBE9D6F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157760"/>
        <c:axId val="1877828800"/>
      </c:barChart>
      <c:catAx>
        <c:axId val="1912157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Scnarios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77828800"/>
        <c:crosses val="autoZero"/>
        <c:auto val="1"/>
        <c:lblAlgn val="ctr"/>
        <c:lblOffset val="100"/>
        <c:noMultiLvlLbl val="0"/>
      </c:catAx>
      <c:valAx>
        <c:axId val="1877828800"/>
        <c:scaling>
          <c:orientation val="minMax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 Cost Gap in €/tCO2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1215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 Grant Public Cost NPV = 0 - Scenarios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'RQ2'!$I$6</c:f>
              <c:strCache>
                <c:ptCount val="1"/>
                <c:pt idx="0">
                  <c:v>S3 - Policy Cost (€) - Grant Coverage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'RQ2'!$J$4:$M$4</c:f>
              <c:strCache>
                <c:ptCount val="4"/>
                <c:pt idx="0">
                  <c:v>DE pipeline</c:v>
                </c:pt>
                <c:pt idx="1">
                  <c:v>DE no pipeline</c:v>
                </c:pt>
                <c:pt idx="2">
                  <c:v>DK pipeline</c:v>
                </c:pt>
                <c:pt idx="3">
                  <c:v>DK no pipeline</c:v>
                </c:pt>
              </c:strCache>
            </c:strRef>
          </c:cat>
          <c:val>
            <c:numRef>
              <c:f>'RQ2'!$J$6:$M$6</c:f>
              <c:numCache>
                <c:formatCode>_(* #,##0.00_);_(* \(#,##0.00\);_(* "-"??_);_(@_)</c:formatCode>
                <c:ptCount val="4"/>
                <c:pt idx="0">
                  <c:v>951209918.33000004</c:v>
                </c:pt>
                <c:pt idx="1">
                  <c:v>1227719260.04</c:v>
                </c:pt>
                <c:pt idx="2">
                  <c:v>519489924.93000001</c:v>
                </c:pt>
                <c:pt idx="3">
                  <c:v>523716820.98000002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4-BF4E-A3E6-DB613BD02CB4}"/>
            </c:ext>
          </c:extLst>
        </c:ser>
        <c:ser>
          <c:idx val="3"/>
          <c:order val="1"/>
          <c:tx>
            <c:strRef>
              <c:f>'RQ2'!$I$8</c:f>
              <c:strCache>
                <c:ptCount val="1"/>
                <c:pt idx="0">
                  <c:v>S6 - Policy Cost (€) - Grant Coverage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'RQ2'!$J$4:$M$4</c:f>
              <c:strCache>
                <c:ptCount val="4"/>
                <c:pt idx="0">
                  <c:v>DE pipeline</c:v>
                </c:pt>
                <c:pt idx="1">
                  <c:v>DE no pipeline</c:v>
                </c:pt>
                <c:pt idx="2">
                  <c:v>DK pipeline</c:v>
                </c:pt>
                <c:pt idx="3">
                  <c:v>DK no pipeline</c:v>
                </c:pt>
              </c:strCache>
            </c:strRef>
          </c:cat>
          <c:val>
            <c:numRef>
              <c:f>'RQ2'!$J$8:$M$8</c:f>
              <c:numCache>
                <c:formatCode>_(* #,##0.00_);_(* \(#,##0.00\);_(* "-"??_);_(@_)</c:formatCode>
                <c:ptCount val="4"/>
                <c:pt idx="0">
                  <c:v>863411717.17999995</c:v>
                </c:pt>
                <c:pt idx="1">
                  <c:v>1139921058.9000001</c:v>
                </c:pt>
                <c:pt idx="2">
                  <c:v>458367839.02999997</c:v>
                </c:pt>
                <c:pt idx="3">
                  <c:v>461664817.94999999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94-BF4E-A3E6-DB613BD02C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84867200"/>
        <c:axId val="1873000448"/>
      </c:barChart>
      <c:catAx>
        <c:axId val="188486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73000448"/>
        <c:crosses val="autoZero"/>
        <c:auto val="1"/>
        <c:lblAlgn val="ctr"/>
        <c:lblOffset val="100"/>
        <c:noMultiLvlLbl val="0"/>
      </c:catAx>
      <c:valAx>
        <c:axId val="1873000448"/>
        <c:scaling>
          <c:orientation val="minMax"/>
          <c:max val="15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8486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'RQ2'!$I$30</c:f>
              <c:strCache>
                <c:ptCount val="1"/>
                <c:pt idx="0">
                  <c:v>S4 - Policy Cost (€) - CCfD subsidy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'RQ2'!$J$28:$M$28</c:f>
              <c:strCache>
                <c:ptCount val="4"/>
                <c:pt idx="0">
                  <c:v>DE pipeline</c:v>
                </c:pt>
                <c:pt idx="1">
                  <c:v>DE no pipeline</c:v>
                </c:pt>
                <c:pt idx="2">
                  <c:v>DK pipeline</c:v>
                </c:pt>
                <c:pt idx="3">
                  <c:v>DK no pipeline</c:v>
                </c:pt>
              </c:strCache>
            </c:strRef>
          </c:cat>
          <c:val>
            <c:numRef>
              <c:f>'RQ2'!$J$30:$M$30</c:f>
              <c:numCache>
                <c:formatCode>_(* #,##0.00_);_(* \(#,##0.00\);_(* "-"??_);_(@_)</c:formatCode>
                <c:ptCount val="4"/>
                <c:pt idx="0">
                  <c:v>853837675.97000003</c:v>
                </c:pt>
                <c:pt idx="1">
                  <c:v>1061069849.03</c:v>
                </c:pt>
                <c:pt idx="2">
                  <c:v>510537741.23000002</c:v>
                </c:pt>
                <c:pt idx="3">
                  <c:v>513895372.24000001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4D-6847-91F5-D92CB55E3699}"/>
            </c:ext>
          </c:extLst>
        </c:ser>
        <c:ser>
          <c:idx val="2"/>
          <c:order val="1"/>
          <c:tx>
            <c:strRef>
              <c:f>'RQ2'!$I$32</c:f>
              <c:strCache>
                <c:ptCount val="1"/>
                <c:pt idx="0">
                  <c:v>S6 - Policy Cost (€) - CCfD strike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'RQ2'!$J$28:$M$28</c:f>
              <c:strCache>
                <c:ptCount val="4"/>
                <c:pt idx="0">
                  <c:v>DE pipeline</c:v>
                </c:pt>
                <c:pt idx="1">
                  <c:v>DE no pipeline</c:v>
                </c:pt>
                <c:pt idx="2">
                  <c:v>DK pipeline</c:v>
                </c:pt>
                <c:pt idx="3">
                  <c:v>DK no pipeline</c:v>
                </c:pt>
              </c:strCache>
            </c:strRef>
          </c:cat>
          <c:val>
            <c:numRef>
              <c:f>'RQ2'!$J$32:$M$32</c:f>
              <c:numCache>
                <c:formatCode>_(* #,##0.00_);_(* \(#,##0.00\);_(* "-"??_);_(@_)</c:formatCode>
                <c:ptCount val="4"/>
                <c:pt idx="0">
                  <c:v>762336696.39999998</c:v>
                </c:pt>
                <c:pt idx="1">
                  <c:v>979184731.04999995</c:v>
                </c:pt>
                <c:pt idx="2">
                  <c:v>460232313.66000003</c:v>
                </c:pt>
                <c:pt idx="3">
                  <c:v>463823997.83999997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4D-6847-91F5-D92CB55E3699}"/>
            </c:ext>
          </c:extLst>
        </c:ser>
        <c:ser>
          <c:idx val="5"/>
          <c:order val="2"/>
          <c:tx>
            <c:strRef>
              <c:f>'RQ2'!$I$34</c:f>
              <c:strCache>
                <c:ptCount val="1"/>
                <c:pt idx="0">
                  <c:v>S7 - Policy Cost (€) - CCfD strike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'RQ2'!$J$28:$M$28</c:f>
              <c:strCache>
                <c:ptCount val="4"/>
                <c:pt idx="0">
                  <c:v>DE pipeline</c:v>
                </c:pt>
                <c:pt idx="1">
                  <c:v>DE no pipeline</c:v>
                </c:pt>
                <c:pt idx="2">
                  <c:v>DK pipeline</c:v>
                </c:pt>
                <c:pt idx="3">
                  <c:v>DK no pipeline</c:v>
                </c:pt>
              </c:strCache>
            </c:strRef>
          </c:cat>
          <c:val>
            <c:numRef>
              <c:f>'RQ2'!$J$34:$M$34</c:f>
              <c:numCache>
                <c:formatCode>_(* #,##0.00_);_(* \(#,##0.00\);_(* "-"??_);_(@_)</c:formatCode>
                <c:ptCount val="4"/>
                <c:pt idx="0">
                  <c:v>853837675.97000003</c:v>
                </c:pt>
                <c:pt idx="1">
                  <c:v>1061069849.03</c:v>
                </c:pt>
                <c:pt idx="2">
                  <c:v>510537741.23000002</c:v>
                </c:pt>
                <c:pt idx="3">
                  <c:v>513895372.24000001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4D-6847-91F5-D92CB55E369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84867200"/>
        <c:axId val="1873000448"/>
      </c:barChart>
      <c:catAx>
        <c:axId val="188486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73000448"/>
        <c:crosses val="autoZero"/>
        <c:auto val="1"/>
        <c:lblAlgn val="ctr"/>
        <c:lblOffset val="100"/>
        <c:noMultiLvlLbl val="0"/>
      </c:catAx>
      <c:valAx>
        <c:axId val="1873000448"/>
        <c:scaling>
          <c:orientation val="minMax"/>
          <c:max val="12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Required implied paynemt (€/tCO2)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84867200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 Grant</a:t>
            </a:r>
            <a:r>
              <a:rPr lang="en-US" baseline="0"/>
              <a:t> - </a:t>
            </a:r>
            <a:r>
              <a:rPr lang="en-US"/>
              <a:t>Goal Seeks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0.17603446859316466"/>
          <c:y val="0.16937875993658996"/>
          <c:w val="0.79343972716005573"/>
          <c:h val="0.445284381392431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'RQ2'!$I$64</c:f>
              <c:strCache>
                <c:ptCount val="1"/>
                <c:pt idx="0">
                  <c:v>S3 - Required Grant Coverage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'RQ2'!$J$63:$M$63</c:f>
              <c:strCache>
                <c:ptCount val="4"/>
                <c:pt idx="0">
                  <c:v>DE pipeline</c:v>
                </c:pt>
                <c:pt idx="1">
                  <c:v>DE no pipeline</c:v>
                </c:pt>
                <c:pt idx="2">
                  <c:v>DK pipeline</c:v>
                </c:pt>
                <c:pt idx="3">
                  <c:v>DK no pipeline</c:v>
                </c:pt>
              </c:strCache>
            </c:strRef>
          </c:cat>
          <c:val>
            <c:numRef>
              <c:f>'RQ2'!$J$64:$M$64</c:f>
              <c:numCache>
                <c:formatCode>0.0%</c:formatCode>
                <c:ptCount val="4"/>
                <c:pt idx="0">
                  <c:v>1.46633746897074</c:v>
                </c:pt>
                <c:pt idx="1">
                  <c:v>1.52380989539295</c:v>
                </c:pt>
                <c:pt idx="2">
                  <c:v>1.03841019292563</c:v>
                </c:pt>
                <c:pt idx="3">
                  <c:v>1.04128292612837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7-E441-842A-9261E4FC32E9}"/>
            </c:ext>
          </c:extLst>
        </c:ser>
        <c:ser>
          <c:idx val="6"/>
          <c:order val="1"/>
          <c:tx>
            <c:strRef>
              <c:f>'RQ2'!$I$70</c:f>
              <c:strCache>
                <c:ptCount val="1"/>
                <c:pt idx="0">
                  <c:v>S6 - Required Grant Coverage (%)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'RQ2'!$J$63:$M$63</c:f>
              <c:strCache>
                <c:ptCount val="4"/>
                <c:pt idx="0">
                  <c:v>DE pipeline</c:v>
                </c:pt>
                <c:pt idx="1">
                  <c:v>DE no pipeline</c:v>
                </c:pt>
                <c:pt idx="2">
                  <c:v>DK pipeline</c:v>
                </c:pt>
                <c:pt idx="3">
                  <c:v>DK no pipeline</c:v>
                </c:pt>
              </c:strCache>
            </c:strRef>
          </c:cat>
          <c:val>
            <c:numRef>
              <c:f>'RQ2'!$J$70:$M$70</c:f>
              <c:numCache>
                <c:formatCode>0.0%</c:formatCode>
                <c:ptCount val="4"/>
                <c:pt idx="0">
                  <c:v>1.0171330205579501</c:v>
                </c:pt>
                <c:pt idx="1">
                  <c:v>1.1621351313369099</c:v>
                </c:pt>
                <c:pt idx="2">
                  <c:v>0.38670465808171001</c:v>
                </c:pt>
                <c:pt idx="3">
                  <c:v>0.39119999169711001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BB7-E441-842A-9261E4FC3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592384"/>
        <c:axId val="2110847872"/>
      </c:barChart>
      <c:catAx>
        <c:axId val="187659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110847872"/>
        <c:crosses val="autoZero"/>
        <c:auto val="1"/>
        <c:lblAlgn val="ctr"/>
        <c:lblOffset val="100"/>
        <c:noMultiLvlLbl val="0"/>
      </c:catAx>
      <c:valAx>
        <c:axId val="211084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Grant</a:t>
                </a:r>
                <a:r>
                  <a:rPr lang="en-US" baseline="0"/>
                  <a:t> Coverage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7659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45308072447326"/>
          <c:y val="0.73852059531789904"/>
          <c:w val="0.67093838551053475"/>
          <c:h val="0.234075562677837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CCfD - Goal Seeks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'RQ2'!$I$66</c:f>
              <c:strCache>
                <c:ptCount val="1"/>
                <c:pt idx="0">
                  <c:v>S4 - Required CCFD subsidy (implied payment) (€/t)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'RQ2'!$J$63:$M$63</c:f>
              <c:strCache>
                <c:ptCount val="4"/>
                <c:pt idx="0">
                  <c:v>DE pipeline</c:v>
                </c:pt>
                <c:pt idx="1">
                  <c:v>DE no pipeline</c:v>
                </c:pt>
                <c:pt idx="2">
                  <c:v>DK pipeline</c:v>
                </c:pt>
                <c:pt idx="3">
                  <c:v>DK no pipeline</c:v>
                </c:pt>
              </c:strCache>
            </c:strRef>
          </c:cat>
          <c:val>
            <c:numRef>
              <c:f>'RQ2'!$J$66:$M$66</c:f>
              <c:numCache>
                <c:formatCode>_(* #,##0.00_);_(* \(#,##0.00\);_(* "-"??_);_(@_)</c:formatCode>
                <c:ptCount val="4"/>
                <c:pt idx="0">
                  <c:v>217.40177101642999</c:v>
                </c:pt>
                <c:pt idx="1">
                  <c:v>270.16664975503102</c:v>
                </c:pt>
                <c:pt idx="2">
                  <c:v>99.906883415994798</c:v>
                </c:pt>
                <c:pt idx="3">
                  <c:v>100.56393660449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ED1-1546-AAE7-71068EB570A2}"/>
            </c:ext>
          </c:extLst>
        </c:ser>
        <c:ser>
          <c:idx val="8"/>
          <c:order val="1"/>
          <c:tx>
            <c:strRef>
              <c:f>'RQ2'!$I$72</c:f>
              <c:strCache>
                <c:ptCount val="1"/>
                <c:pt idx="0">
                  <c:v>S6 - Required CCFD subsidy (impled payment) (€/t)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'RQ2'!$J$63:$M$63</c:f>
              <c:strCache>
                <c:ptCount val="4"/>
                <c:pt idx="0">
                  <c:v>DE pipeline</c:v>
                </c:pt>
                <c:pt idx="1">
                  <c:v>DE no pipeline</c:v>
                </c:pt>
                <c:pt idx="2">
                  <c:v>DK pipeline</c:v>
                </c:pt>
                <c:pt idx="3">
                  <c:v>DK no pipeline</c:v>
                </c:pt>
              </c:strCache>
            </c:strRef>
          </c:cat>
          <c:val>
            <c:numRef>
              <c:f>'RQ2'!$J$72:$M$72</c:f>
              <c:numCache>
                <c:formatCode>_(* #,##0.00_);_(* \(#,##0.00\);_(* "-"??_);_(@_)</c:formatCode>
                <c:ptCount val="4"/>
                <c:pt idx="0">
                  <c:v>111.51923042714199</c:v>
                </c:pt>
                <c:pt idx="1">
                  <c:v>146.74594484271699</c:v>
                </c:pt>
                <c:pt idx="2">
                  <c:v>41.113421565565901</c:v>
                </c:pt>
                <c:pt idx="3">
                  <c:v>41.554136818471001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ED1-1546-AAE7-71068EB570A2}"/>
            </c:ext>
          </c:extLst>
        </c:ser>
        <c:ser>
          <c:idx val="10"/>
          <c:order val="2"/>
          <c:tx>
            <c:strRef>
              <c:f>'RQ2'!$I$74</c:f>
              <c:strCache>
                <c:ptCount val="1"/>
                <c:pt idx="0">
                  <c:v>S7 - Required CCFD strike/subsidy (€/t)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'RQ2'!$J$63:$M$63</c:f>
              <c:strCache>
                <c:ptCount val="4"/>
                <c:pt idx="0">
                  <c:v>DE pipeline</c:v>
                </c:pt>
                <c:pt idx="1">
                  <c:v>DE no pipeline</c:v>
                </c:pt>
                <c:pt idx="2">
                  <c:v>DK pipeline</c:v>
                </c:pt>
                <c:pt idx="3">
                  <c:v>DK no pipeline</c:v>
                </c:pt>
              </c:strCache>
            </c:strRef>
          </c:cat>
          <c:val>
            <c:numRef>
              <c:f>'RQ2'!$J$74:$M$74</c:f>
              <c:numCache>
                <c:formatCode>_(* #,##0.00_);_(* \(#,##0.00\);_(* "-"??_);_(@_)</c:formatCode>
                <c:ptCount val="4"/>
                <c:pt idx="0">
                  <c:v>180.91843984507202</c:v>
                </c:pt>
                <c:pt idx="1">
                  <c:v>233.68331858367199</c:v>
                </c:pt>
                <c:pt idx="2">
                  <c:v>71.867124133656205</c:v>
                </c:pt>
                <c:pt idx="3">
                  <c:v>72.5241773221519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ED1-1546-AAE7-71068EB57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592384"/>
        <c:axId val="2110847872"/>
      </c:barChart>
      <c:catAx>
        <c:axId val="187659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110847872"/>
        <c:crosses val="autoZero"/>
        <c:auto val="1"/>
        <c:lblAlgn val="ctr"/>
        <c:lblOffset val="100"/>
        <c:noMultiLvlLbl val="0"/>
      </c:catAx>
      <c:valAx>
        <c:axId val="211084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Required implied paynemt (€/tCO2)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7659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T&amp;S -</a:t>
            </a:r>
            <a:r>
              <a:rPr lang="en-US" baseline="0"/>
              <a:t> Goal Seeks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'RQ2'!$I$68</c:f>
              <c:strCache>
                <c:ptCount val="1"/>
                <c:pt idx="0">
                  <c:v>S5 - Required T&amp;S subsidy (€/t)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'RQ2'!$J$63:$M$63</c:f>
              <c:strCache>
                <c:ptCount val="4"/>
                <c:pt idx="0">
                  <c:v>DE pipeline</c:v>
                </c:pt>
                <c:pt idx="1">
                  <c:v>DE no pipeline</c:v>
                </c:pt>
                <c:pt idx="2">
                  <c:v>DK pipeline</c:v>
                </c:pt>
                <c:pt idx="3">
                  <c:v>DK no pipeline</c:v>
                </c:pt>
              </c:strCache>
            </c:strRef>
          </c:cat>
          <c:val>
            <c:numRef>
              <c:f>'RQ2'!$J$68:$M$68</c:f>
              <c:numCache>
                <c:formatCode>_(* #,##0.00_);_(* \(#,##0.00\);_(* "-"??_);_(@_)</c:formatCode>
                <c:ptCount val="4"/>
                <c:pt idx="0">
                  <c:v>178.76802696166999</c:v>
                </c:pt>
                <c:pt idx="1">
                  <c:v>222.15623498256301</c:v>
                </c:pt>
                <c:pt idx="2">
                  <c:v>109.018147364512</c:v>
                </c:pt>
                <c:pt idx="3">
                  <c:v>109.74123531607199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68E-7B45-98C4-5711CFF1E14E}"/>
            </c:ext>
          </c:extLst>
        </c:ser>
        <c:ser>
          <c:idx val="12"/>
          <c:order val="1"/>
          <c:tx>
            <c:strRef>
              <c:f>'RQ2'!$I$76</c:f>
              <c:strCache>
                <c:ptCount val="1"/>
                <c:pt idx="0">
                  <c:v>S7 - Required T&amp;S subsidy (€/t) 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'RQ2'!$J$63:$M$63</c:f>
              <c:strCache>
                <c:ptCount val="4"/>
                <c:pt idx="0">
                  <c:v>DE pipeline</c:v>
                </c:pt>
                <c:pt idx="1">
                  <c:v>DE no pipeline</c:v>
                </c:pt>
                <c:pt idx="2">
                  <c:v>DK pipeline</c:v>
                </c:pt>
                <c:pt idx="3">
                  <c:v>DK no pipeline</c:v>
                </c:pt>
              </c:strCache>
            </c:strRef>
          </c:cat>
          <c:val>
            <c:numRef>
              <c:f>'RQ2'!$J$76:$M$76</c:f>
              <c:numCache>
                <c:formatCode>_(* #,##0.00_);_(* \(#,##0.00\);_(* "-"??_);_(@_)</c:formatCode>
                <c:ptCount val="4"/>
                <c:pt idx="0">
                  <c:v>136.14034056167</c:v>
                </c:pt>
                <c:pt idx="1">
                  <c:v>179.52854858256299</c:v>
                </c:pt>
                <c:pt idx="2">
                  <c:v>51.548551194906302</c:v>
                </c:pt>
                <c:pt idx="3">
                  <c:v>52.271639146466697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68E-7B45-98C4-5711CFF1E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592384"/>
        <c:axId val="2110847872"/>
      </c:barChart>
      <c:catAx>
        <c:axId val="187659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110847872"/>
        <c:crosses val="autoZero"/>
        <c:auto val="1"/>
        <c:lblAlgn val="ctr"/>
        <c:lblOffset val="100"/>
        <c:noMultiLvlLbl val="0"/>
      </c:catAx>
      <c:valAx>
        <c:axId val="211084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Required T&amp;S support (€/tCO2)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7659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'RQ2'!$J$63</c:f>
              <c:strCache>
                <c:ptCount val="1"/>
                <c:pt idx="0">
                  <c:v>DE pipeline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('RQ2'!$I$65,'RQ2'!$I$67,'RQ2'!$I$69,'RQ2'!$I$71,'RQ2'!$I$73,'RQ2'!$I$75,'RQ2'!$I$77)</c:f>
              <c:strCache>
                <c:ptCount val="7"/>
                <c:pt idx="0">
                  <c:v>S3 - Policy Cost (€) - Grant Coverage</c:v>
                </c:pt>
                <c:pt idx="1">
                  <c:v>S4 - Policy Cost (€) - CCfD subsidy</c:v>
                </c:pt>
                <c:pt idx="2">
                  <c:v>S5 - Policy Cost (€) - T&amp;S subsidy</c:v>
                </c:pt>
                <c:pt idx="3">
                  <c:v>S6 - Policy Cost (€) - Grant Coverage</c:v>
                </c:pt>
                <c:pt idx="4">
                  <c:v>S6 - Policy Cost (€) - CCfD strike</c:v>
                </c:pt>
                <c:pt idx="5">
                  <c:v>S7 - Policy Cost (€) - CCfD strike</c:v>
                </c:pt>
                <c:pt idx="6">
                  <c:v>S7 - Policy Cost (€) - T&amp;S subsidy</c:v>
                </c:pt>
              </c:strCache>
            </c:strRef>
          </c:cat>
          <c:val>
            <c:numRef>
              <c:f>('RQ2'!$J$65,'RQ2'!$J$67,'RQ2'!$J$69,'RQ2'!$J$71,'RQ2'!$J$73,'RQ2'!$J$75,'RQ2'!$J$77)</c:f>
              <c:numCache>
                <c:formatCode>_(* #,##0.00_);_(* \(#,##0.00\);_(* "-"??_);_(@_)</c:formatCode>
                <c:ptCount val="7"/>
                <c:pt idx="0">
                  <c:v>951209918.33000004</c:v>
                </c:pt>
                <c:pt idx="1">
                  <c:v>853837675.97000003</c:v>
                </c:pt>
                <c:pt idx="2">
                  <c:v>853837675.97000003</c:v>
                </c:pt>
                <c:pt idx="3">
                  <c:v>863411717.17999995</c:v>
                </c:pt>
                <c:pt idx="4">
                  <c:v>762336696.39999998</c:v>
                </c:pt>
                <c:pt idx="5">
                  <c:v>853837675.97000003</c:v>
                </c:pt>
                <c:pt idx="6">
                  <c:v>853837675.97000003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C8-E043-B03F-656A575C73EF}"/>
            </c:ext>
          </c:extLst>
        </c:ser>
        <c:ser>
          <c:idx val="3"/>
          <c:order val="1"/>
          <c:tx>
            <c:strRef>
              <c:f>'RQ2'!$K$63</c:f>
              <c:strCache>
                <c:ptCount val="1"/>
                <c:pt idx="0">
                  <c:v>DE no pipeline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('RQ2'!$I$65,'RQ2'!$I$67,'RQ2'!$I$69,'RQ2'!$I$71,'RQ2'!$I$73,'RQ2'!$I$75,'RQ2'!$I$77)</c:f>
              <c:strCache>
                <c:ptCount val="7"/>
                <c:pt idx="0">
                  <c:v>S3 - Policy Cost (€) - Grant Coverage</c:v>
                </c:pt>
                <c:pt idx="1">
                  <c:v>S4 - Policy Cost (€) - CCfD subsidy</c:v>
                </c:pt>
                <c:pt idx="2">
                  <c:v>S5 - Policy Cost (€) - T&amp;S subsidy</c:v>
                </c:pt>
                <c:pt idx="3">
                  <c:v>S6 - Policy Cost (€) - Grant Coverage</c:v>
                </c:pt>
                <c:pt idx="4">
                  <c:v>S6 - Policy Cost (€) - CCfD strike</c:v>
                </c:pt>
                <c:pt idx="5">
                  <c:v>S7 - Policy Cost (€) - CCfD strike</c:v>
                </c:pt>
                <c:pt idx="6">
                  <c:v>S7 - Policy Cost (€) - T&amp;S subsidy</c:v>
                </c:pt>
              </c:strCache>
            </c:strRef>
          </c:cat>
          <c:val>
            <c:numRef>
              <c:f>('RQ2'!$K$65,'RQ2'!$K$67,'RQ2'!$K$69,'RQ2'!$K$71,'RQ2'!$K$73,'RQ2'!$K$75,'RQ2'!$K$77)</c:f>
              <c:numCache>
                <c:formatCode>_(* #,##0.00_);_(* \(#,##0.00\);_(* "-"??_);_(@_)</c:formatCode>
                <c:ptCount val="7"/>
                <c:pt idx="0">
                  <c:v>1227719260.04</c:v>
                </c:pt>
                <c:pt idx="1">
                  <c:v>1061069849.03</c:v>
                </c:pt>
                <c:pt idx="2">
                  <c:v>1061069849.03</c:v>
                </c:pt>
                <c:pt idx="3">
                  <c:v>1139921058.9000001</c:v>
                </c:pt>
                <c:pt idx="4">
                  <c:v>979184731.04999995</c:v>
                </c:pt>
                <c:pt idx="5">
                  <c:v>1061069849.03</c:v>
                </c:pt>
                <c:pt idx="6">
                  <c:v>1061069849.03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C8-E043-B03F-656A575C73EF}"/>
            </c:ext>
          </c:extLst>
        </c:ser>
        <c:ser>
          <c:idx val="5"/>
          <c:order val="2"/>
          <c:tx>
            <c:strRef>
              <c:f>'RQ2'!$L$63</c:f>
              <c:strCache>
                <c:ptCount val="1"/>
                <c:pt idx="0">
                  <c:v>DK pipeline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('RQ2'!$I$65,'RQ2'!$I$67,'RQ2'!$I$69,'RQ2'!$I$71,'RQ2'!$I$73,'RQ2'!$I$75,'RQ2'!$I$77)</c:f>
              <c:strCache>
                <c:ptCount val="7"/>
                <c:pt idx="0">
                  <c:v>S3 - Policy Cost (€) - Grant Coverage</c:v>
                </c:pt>
                <c:pt idx="1">
                  <c:v>S4 - Policy Cost (€) - CCfD subsidy</c:v>
                </c:pt>
                <c:pt idx="2">
                  <c:v>S5 - Policy Cost (€) - T&amp;S subsidy</c:v>
                </c:pt>
                <c:pt idx="3">
                  <c:v>S6 - Policy Cost (€) - Grant Coverage</c:v>
                </c:pt>
                <c:pt idx="4">
                  <c:v>S6 - Policy Cost (€) - CCfD strike</c:v>
                </c:pt>
                <c:pt idx="5">
                  <c:v>S7 - Policy Cost (€) - CCfD strike</c:v>
                </c:pt>
                <c:pt idx="6">
                  <c:v>S7 - Policy Cost (€) - T&amp;S subsidy</c:v>
                </c:pt>
              </c:strCache>
            </c:strRef>
          </c:cat>
          <c:val>
            <c:numRef>
              <c:f>('RQ2'!$L$65,'RQ2'!$L$67,'RQ2'!$L$69,'RQ2'!$L$71,'RQ2'!$L$73,'RQ2'!$L$75,'RQ2'!$L$77)</c:f>
              <c:numCache>
                <c:formatCode>_(* #,##0.00_);_(* \(#,##0.00\);_(* "-"??_);_(@_)</c:formatCode>
                <c:ptCount val="7"/>
                <c:pt idx="0">
                  <c:v>519489924.93000001</c:v>
                </c:pt>
                <c:pt idx="1">
                  <c:v>510537741.23000002</c:v>
                </c:pt>
                <c:pt idx="2">
                  <c:v>520696028.06999999</c:v>
                </c:pt>
                <c:pt idx="3">
                  <c:v>458367839.02999997</c:v>
                </c:pt>
                <c:pt idx="4">
                  <c:v>460232313.66000003</c:v>
                </c:pt>
                <c:pt idx="5">
                  <c:v>510537741.23000002</c:v>
                </c:pt>
                <c:pt idx="6">
                  <c:v>511117309.73000002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C8-E043-B03F-656A575C73EF}"/>
            </c:ext>
          </c:extLst>
        </c:ser>
        <c:ser>
          <c:idx val="7"/>
          <c:order val="3"/>
          <c:tx>
            <c:strRef>
              <c:f>'RQ2'!$M$63</c:f>
              <c:strCache>
                <c:ptCount val="1"/>
                <c:pt idx="0">
                  <c:v>DK no pipeline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('RQ2'!$I$65,'RQ2'!$I$67,'RQ2'!$I$69,'RQ2'!$I$71,'RQ2'!$I$73,'RQ2'!$I$75,'RQ2'!$I$77)</c:f>
              <c:strCache>
                <c:ptCount val="7"/>
                <c:pt idx="0">
                  <c:v>S3 - Policy Cost (€) - Grant Coverage</c:v>
                </c:pt>
                <c:pt idx="1">
                  <c:v>S4 - Policy Cost (€) - CCfD subsidy</c:v>
                </c:pt>
                <c:pt idx="2">
                  <c:v>S5 - Policy Cost (€) - T&amp;S subsidy</c:v>
                </c:pt>
                <c:pt idx="3">
                  <c:v>S6 - Policy Cost (€) - Grant Coverage</c:v>
                </c:pt>
                <c:pt idx="4">
                  <c:v>S6 - Policy Cost (€) - CCfD strike</c:v>
                </c:pt>
                <c:pt idx="5">
                  <c:v>S7 - Policy Cost (€) - CCfD strike</c:v>
                </c:pt>
                <c:pt idx="6">
                  <c:v>S7 - Policy Cost (€) - T&amp;S subsidy</c:v>
                </c:pt>
              </c:strCache>
            </c:strRef>
          </c:cat>
          <c:val>
            <c:numRef>
              <c:f>('RQ2'!$M$65,'RQ2'!$M$67,'RQ2'!$M$69,'RQ2'!$M$71,'RQ2'!$M$73,'RQ2'!$M$75,'RQ2'!$M$77)</c:f>
              <c:numCache>
                <c:formatCode>_(* #,##0.00_);_(* \(#,##0.00\);_(* "-"??_);_(@_)</c:formatCode>
                <c:ptCount val="7"/>
                <c:pt idx="0">
                  <c:v>523716820.98000002</c:v>
                </c:pt>
                <c:pt idx="1">
                  <c:v>513895372.24000001</c:v>
                </c:pt>
                <c:pt idx="2">
                  <c:v>524149664.31</c:v>
                </c:pt>
                <c:pt idx="3">
                  <c:v>461664817.94999999</c:v>
                </c:pt>
                <c:pt idx="4">
                  <c:v>463823997.83999997</c:v>
                </c:pt>
                <c:pt idx="5">
                  <c:v>513895372.24000001</c:v>
                </c:pt>
                <c:pt idx="6">
                  <c:v>514570945.95999998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EC8-E043-B03F-656A575C7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339776"/>
        <c:axId val="2113662336"/>
      </c:barChart>
      <c:catAx>
        <c:axId val="213833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113662336"/>
        <c:crosses val="autoZero"/>
        <c:auto val="1"/>
        <c:lblAlgn val="ctr"/>
        <c:lblOffset val="100"/>
        <c:noMultiLvlLbl val="0"/>
      </c:catAx>
      <c:valAx>
        <c:axId val="211366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Public</a:t>
                </a:r>
                <a:r>
                  <a:rPr lang="en-US" baseline="0"/>
                  <a:t> cost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13833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110524</xdr:colOff>
      <xdr:row>74</xdr:row>
      <xdr:rowOff>16476</xdr:rowOff>
    </xdr:from>
    <xdr:to>
      <xdr:col>21</xdr:col>
      <xdr:colOff>1990124</xdr:colOff>
      <xdr:row>96</xdr:row>
      <xdr:rowOff>16475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6B0E46-04B4-9F1D-C7E5-CD1FA2CA5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1442155</xdr:colOff>
      <xdr:row>141</xdr:row>
      <xdr:rowOff>9877</xdr:rowOff>
    </xdr:from>
    <xdr:to>
      <xdr:col>5</xdr:col>
      <xdr:colOff>1174230</xdr:colOff>
      <xdr:row>188</xdr:row>
      <xdr:rowOff>86812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D65C69A7-E285-94A1-EAFC-CCB8797E5CC6}"/>
            </a:ext>
          </a:extLst>
        </xdr:cNvPr>
        <xdr:cNvGrpSpPr/>
      </xdr:nvGrpSpPr>
      <xdr:grpSpPr>
        <a:xfrm>
          <a:off x="2271888" y="28762677"/>
          <a:ext cx="8435809" cy="9627335"/>
          <a:chOff x="3016955" y="17231077"/>
          <a:chExt cx="8469675" cy="9627335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C0686E84-4521-F327-6AB9-ECB3945297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186289" y="17231077"/>
            <a:ext cx="8212666" cy="9627335"/>
          </a:xfrm>
          <a:prstGeom prst="rect">
            <a:avLst/>
          </a:prstGeom>
        </xdr:spPr>
      </xdr:pic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0ACBD43B-D906-1598-3B6A-794F460B899B}"/>
              </a:ext>
            </a:extLst>
          </xdr:cNvPr>
          <xdr:cNvCxnSpPr/>
        </xdr:nvCxnSpPr>
        <xdr:spPr>
          <a:xfrm>
            <a:off x="3016955" y="22528389"/>
            <a:ext cx="8469675" cy="10988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5</xdr:col>
      <xdr:colOff>2738438</xdr:colOff>
      <xdr:row>143</xdr:row>
      <xdr:rowOff>79375</xdr:rowOff>
    </xdr:from>
    <xdr:to>
      <xdr:col>8</xdr:col>
      <xdr:colOff>238125</xdr:colOff>
      <xdr:row>188</xdr:row>
      <xdr:rowOff>4370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0DC599-3BDF-23E4-0FB7-01A565A96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03126" y="28535313"/>
          <a:ext cx="6191249" cy="88546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54624</xdr:colOff>
      <xdr:row>8</xdr:row>
      <xdr:rowOff>27312</xdr:rowOff>
    </xdr:from>
    <xdr:to>
      <xdr:col>1</xdr:col>
      <xdr:colOff>970477</xdr:colOff>
      <xdr:row>10</xdr:row>
      <xdr:rowOff>238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B9DD408B-EDED-5842-BF44-F9F29C36E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979" y="1461183"/>
          <a:ext cx="915853" cy="379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30162</xdr:colOff>
      <xdr:row>19</xdr:row>
      <xdr:rowOff>149316</xdr:rowOff>
    </xdr:from>
    <xdr:to>
      <xdr:col>5</xdr:col>
      <xdr:colOff>1466355</xdr:colOff>
      <xdr:row>38</xdr:row>
      <xdr:rowOff>145734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69A703-FA68-313C-5AAC-A56ABB6CB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87663</xdr:colOff>
      <xdr:row>43</xdr:row>
      <xdr:rowOff>174130</xdr:rowOff>
    </xdr:from>
    <xdr:to>
      <xdr:col>12</xdr:col>
      <xdr:colOff>1783404</xdr:colOff>
      <xdr:row>78</xdr:row>
      <xdr:rowOff>177800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EA4A3F0-AD9E-6942-9BD3-D484165A4B0C}"/>
            </a:ext>
          </a:extLst>
        </xdr:cNvPr>
        <xdr:cNvGrpSpPr/>
      </xdr:nvGrpSpPr>
      <xdr:grpSpPr>
        <a:xfrm>
          <a:off x="9815863" y="9292730"/>
          <a:ext cx="6978941" cy="7141070"/>
          <a:chOff x="2971583" y="17231077"/>
          <a:chExt cx="8469675" cy="9627335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5C1F3FC8-BF41-8FB9-DC2B-BEEE5FF78D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186289" y="17231077"/>
            <a:ext cx="8212666" cy="9627335"/>
          </a:xfrm>
          <a:prstGeom prst="rect">
            <a:avLst/>
          </a:prstGeom>
        </xdr:spPr>
      </xdr:pic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222C4DD6-85EF-1811-772C-62B4972301A9}"/>
              </a:ext>
            </a:extLst>
          </xdr:cNvPr>
          <xdr:cNvCxnSpPr/>
        </xdr:nvCxnSpPr>
        <xdr:spPr>
          <a:xfrm>
            <a:off x="2971583" y="22645981"/>
            <a:ext cx="8469675" cy="10987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26750</xdr:colOff>
      <xdr:row>22</xdr:row>
      <xdr:rowOff>7294</xdr:rowOff>
    </xdr:from>
    <xdr:to>
      <xdr:col>11</xdr:col>
      <xdr:colOff>69781</xdr:colOff>
      <xdr:row>32</xdr:row>
      <xdr:rowOff>28862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5B68509-843E-4477-9BBB-DD370579F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482600</xdr:colOff>
      <xdr:row>1</xdr:row>
      <xdr:rowOff>0</xdr:rowOff>
    </xdr:from>
    <xdr:to>
      <xdr:col>6</xdr:col>
      <xdr:colOff>539750</xdr:colOff>
      <xdr:row>90</xdr:row>
      <xdr:rowOff>95250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66E8D3C-A995-F98C-837E-95E9D911D759}"/>
            </a:ext>
          </a:extLst>
        </xdr:cNvPr>
        <xdr:cNvCxnSpPr/>
      </xdr:nvCxnSpPr>
      <xdr:spPr>
        <a:xfrm>
          <a:off x="8534400" y="203200"/>
          <a:ext cx="57150" cy="18510250"/>
        </a:xfrm>
        <a:prstGeom prst="line">
          <a:avLst/>
        </a:prstGeom>
        <a:ln w="571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254000</xdr:colOff>
      <xdr:row>39</xdr:row>
      <xdr:rowOff>158750</xdr:rowOff>
    </xdr:from>
    <xdr:to>
      <xdr:col>6</xdr:col>
      <xdr:colOff>592667</xdr:colOff>
      <xdr:row>39</xdr:row>
      <xdr:rowOff>186267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6755337-D7BA-A140-9D4B-F39ECE8BADE1}"/>
            </a:ext>
          </a:extLst>
        </xdr:cNvPr>
        <xdr:cNvCxnSpPr/>
      </xdr:nvCxnSpPr>
      <xdr:spPr>
        <a:xfrm>
          <a:off x="254000" y="6305550"/>
          <a:ext cx="7552267" cy="27517"/>
        </a:xfrm>
        <a:prstGeom prst="line">
          <a:avLst/>
        </a:prstGeom>
        <a:ln w="571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39248</xdr:colOff>
      <xdr:row>49</xdr:row>
      <xdr:rowOff>58908</xdr:rowOff>
    </xdr:from>
    <xdr:to>
      <xdr:col>4</xdr:col>
      <xdr:colOff>751840</xdr:colOff>
      <xdr:row>62</xdr:row>
      <xdr:rowOff>160508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B30E059-84B1-A6BB-B663-6BF1A9A58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104544</xdr:colOff>
      <xdr:row>72</xdr:row>
      <xdr:rowOff>60555</xdr:rowOff>
    </xdr:from>
    <xdr:to>
      <xdr:col>4</xdr:col>
      <xdr:colOff>982501</xdr:colOff>
      <xdr:row>85</xdr:row>
      <xdr:rowOff>171726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C123D7A-7C65-6D5C-967B-CE8D5B791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177800</xdr:colOff>
      <xdr:row>93</xdr:row>
      <xdr:rowOff>180340</xdr:rowOff>
    </xdr:from>
    <xdr:to>
      <xdr:col>4</xdr:col>
      <xdr:colOff>299720</xdr:colOff>
      <xdr:row>107</xdr:row>
      <xdr:rowOff>78740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C4C3C1A-9947-EC0B-EEE7-F0C6211A5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787400</xdr:colOff>
      <xdr:row>116</xdr:row>
      <xdr:rowOff>177800</xdr:rowOff>
    </xdr:from>
    <xdr:to>
      <xdr:col>4</xdr:col>
      <xdr:colOff>71120</xdr:colOff>
      <xdr:row>130</xdr:row>
      <xdr:rowOff>76200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2BEB571-E4CC-FD45-A184-7D1528633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12</xdr:row>
      <xdr:rowOff>127000</xdr:rowOff>
    </xdr:from>
    <xdr:to>
      <xdr:col>6</xdr:col>
      <xdr:colOff>0</xdr:colOff>
      <xdr:row>28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6068EE-1B58-93A2-8D16-418255F39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474134</xdr:colOff>
      <xdr:row>1</xdr:row>
      <xdr:rowOff>169333</xdr:rowOff>
    </xdr:from>
    <xdr:to>
      <xdr:col>6</xdr:col>
      <xdr:colOff>560294</xdr:colOff>
      <xdr:row>68</xdr:row>
      <xdr:rowOff>74706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ED98AAC-DFFF-D13E-C5EF-32D6184EE0E1}"/>
            </a:ext>
          </a:extLst>
        </xdr:cNvPr>
        <xdr:cNvCxnSpPr/>
      </xdr:nvCxnSpPr>
      <xdr:spPr>
        <a:xfrm>
          <a:off x="8019428" y="374774"/>
          <a:ext cx="86160" cy="17946844"/>
        </a:xfrm>
        <a:prstGeom prst="line">
          <a:avLst/>
        </a:prstGeom>
        <a:ln w="571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20320</xdr:colOff>
      <xdr:row>9</xdr:row>
      <xdr:rowOff>162560</xdr:rowOff>
    </xdr:from>
    <xdr:to>
      <xdr:col>12</xdr:col>
      <xdr:colOff>538557</xdr:colOff>
      <xdr:row>22</xdr:row>
      <xdr:rowOff>173217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0D0112-EA1F-B0E1-09A1-3EE04BFB4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12</xdr:col>
      <xdr:colOff>1150471</xdr:colOff>
      <xdr:row>50</xdr:row>
      <xdr:rowOff>74706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6E779B3-F2B4-334C-A441-8F64BACA8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223039</xdr:colOff>
      <xdr:row>0</xdr:row>
      <xdr:rowOff>141111</xdr:rowOff>
    </xdr:from>
    <xdr:to>
      <xdr:col>17</xdr:col>
      <xdr:colOff>309199</xdr:colOff>
      <xdr:row>67</xdr:row>
      <xdr:rowOff>46483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F28A835-0012-5042-B0ED-6D017B6E41F7}"/>
            </a:ext>
          </a:extLst>
        </xdr:cNvPr>
        <xdr:cNvCxnSpPr/>
      </xdr:nvCxnSpPr>
      <xdr:spPr>
        <a:xfrm>
          <a:off x="19378872" y="141111"/>
          <a:ext cx="86160" cy="19308150"/>
        </a:xfrm>
        <a:prstGeom prst="line">
          <a:avLst/>
        </a:prstGeom>
        <a:ln w="571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719890</xdr:colOff>
      <xdr:row>79</xdr:row>
      <xdr:rowOff>117641</xdr:rowOff>
    </xdr:from>
    <xdr:to>
      <xdr:col>10</xdr:col>
      <xdr:colOff>893680</xdr:colOff>
      <xdr:row>93</xdr:row>
      <xdr:rowOff>53473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A2BF21-D30C-CD69-D4EB-C4F4BEC23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1092200</xdr:colOff>
      <xdr:row>79</xdr:row>
      <xdr:rowOff>114299</xdr:rowOff>
    </xdr:from>
    <xdr:to>
      <xdr:col>15</xdr:col>
      <xdr:colOff>249990</xdr:colOff>
      <xdr:row>94</xdr:row>
      <xdr:rowOff>135466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336919B-13C4-1743-BB46-B6E2A6356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95</xdr:row>
      <xdr:rowOff>0</xdr:rowOff>
    </xdr:from>
    <xdr:to>
      <xdr:col>10</xdr:col>
      <xdr:colOff>1003524</xdr:colOff>
      <xdr:row>108</xdr:row>
      <xdr:rowOff>139032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A0F05F7-82AC-0D41-AB4F-291DF0551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1256229</xdr:colOff>
      <xdr:row>95</xdr:row>
      <xdr:rowOff>66713</xdr:rowOff>
    </xdr:from>
    <xdr:to>
      <xdr:col>15</xdr:col>
      <xdr:colOff>411602</xdr:colOff>
      <xdr:row>109</xdr:row>
      <xdr:rowOff>25094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7580AF4-27F0-3C8C-3BD9-132064216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0.24611</cdr:x>
      <cdr:y>0.32802</cdr:y>
    </cdr:from>
    <cdr:to>
      <cdr:x>0.29555</cdr:x>
      <cdr:y>0.37625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DE5114E-2C58-CE9B-EBCE-9B5B153BF92C}"/>
            </a:ext>
          </a:extLst>
        </cdr:cNvPr>
        <cdr:cNvSpPr txBox="1"/>
      </cdr:nvSpPr>
      <cdr:spPr>
        <a:xfrm xmlns:a="http://schemas.openxmlformats.org/drawingml/2006/main">
          <a:off x="1127144" y="903926"/>
          <a:ext cx="226434" cy="1329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0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0.24611</cdr:x>
      <cdr:y>0.32802</cdr:y>
    </cdr:from>
    <cdr:to>
      <cdr:x>0.29555</cdr:x>
      <cdr:y>0.37625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DE5114E-2C58-CE9B-EBCE-9B5B153BF92C}"/>
            </a:ext>
          </a:extLst>
        </cdr:cNvPr>
        <cdr:cNvSpPr txBox="1"/>
      </cdr:nvSpPr>
      <cdr:spPr>
        <a:xfrm xmlns:a="http://schemas.openxmlformats.org/drawingml/2006/main">
          <a:off x="1127144" y="903926"/>
          <a:ext cx="226434" cy="1329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0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tian Bey" refreshedDate="46104.851418518519" createdVersion="8" refreshedVersion="8" minRefreshableVersion="3" recordCount="94" xr:uid="{4A2B15FE-16CC-DF40-9ABE-9D29C6D44EBE}">
  <cacheSource type="worksheet">
    <worksheetSource ref="B4:J98" sheet="Transport and Storage"/>
  </cacheSource>
  <cacheFields count="5">
    <cacheField name="Pipeline?" numFmtId="0">
      <sharedItems count="2">
        <s v="Pipeline Allowed"/>
        <s v="Pipeline Disallowed"/>
      </sharedItems>
    </cacheField>
    <cacheField name="Country " numFmtId="0">
      <sharedItems count="2">
        <s v="Denmark"/>
        <s v="Germany"/>
      </sharedItems>
    </cacheField>
    <cacheField name="Location " numFmtId="0">
      <sharedItems count="47">
        <s v="Aalborg"/>
        <s v="Kalkwerke Rüdersdorf"/>
        <s v="Zementwerk Karsdorf"/>
        <s v="Zementwerk Rüdersdorf"/>
        <s v="Zementwerk Bernburg"/>
        <s v="Fels KH NSO 1-5 Oberharz am Brocken"/>
        <s v="Fels KR NSO 1-8 Oberharz am Brocken"/>
        <s v="Fels KK GGR 6 Oberharz am Brocken"/>
        <s v="Zementwerk Dotternhausen"/>
        <s v="Kalkwerk Seesen"/>
        <s v="Zementwerk Burglengenfeld"/>
        <s v="Zementwerk Solnhofen"/>
        <s v="Zementwerk Sehnde"/>
        <s v="Zementwerk Hannover"/>
        <s v="Kalkwerke Blaustein"/>
        <s v="Kalkwerke Harburg"/>
        <s v="Zementwerk Schelklingen"/>
        <s v="Zementwerk Allmendingen"/>
        <s v="Zementwerk Heidenheim an der Brenz"/>
        <s v="Zementwerk Harburg"/>
        <s v="Zementwerk Walzbachtal"/>
        <s v="Zementwerk Niederorschel"/>
        <s v="Zementwerk Großenlüder"/>
        <s v="Zementwerk Göllheim"/>
        <s v="Zementwerk Rohrdorf"/>
        <s v="Brennanlage Runkel"/>
        <s v="Kalkwerk Hahnstätten"/>
        <s v="Zementwerk Paderborn"/>
        <s v="Drehofen 11 Lägerdorf"/>
        <s v="Zementwerk Geseke"/>
        <s v="Kalkwerk Warstein "/>
        <s v="Zementwerk Erwitte"/>
        <s v="Zementwerk Üxheim"/>
        <s v="Zementwerk Beckum"/>
        <s v="Zementwerk Enningerloh"/>
        <s v="Kalkwerk Lienen"/>
        <s v="Brennen von Kalkstein Menden"/>
        <s v="Zementherstellung Lengerich"/>
        <s v="Kalksteinbrennöfen Wuppertal"/>
        <s v="Kalkwerk Wülfrath"/>
        <s v="Kalkwerke Regensburg"/>
        <s v="Kalkwerke Saal a. d. Donau"/>
        <s v="Lhoist Istein"/>
        <s v="Zementwerk Karlstadt"/>
        <s v="Zementwerk Triefenstein"/>
        <s v="Zementwerk Leimen"/>
        <s v="Zementwerk Wiesbaden "/>
      </sharedItems>
    </cacheField>
    <cacheField name="Cost per t/CO2 in 2024" numFmtId="0">
      <sharedItems containsSemiMixedTypes="0" containsString="0" containsNumber="1" minValue="33.299999999999997" maxValue="121"/>
    </cacheField>
    <cacheField name="Cost per t/CO2 in 2025" numFmtId="2">
      <sharedItems containsSemiMixedTypes="0" containsString="0" containsNumber="1" minValue="33.999299999999991" maxValue="123.540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tian Bey" refreshedDate="46193.487812962965" createdVersion="8" refreshedVersion="8" minRefreshableVersion="3" recordCount="94" xr:uid="{0CF28093-C772-F347-9F16-0222EBDBA2A0}">
  <cacheSource type="worksheet">
    <worksheetSource ref="B4:M98" sheet="Transport and Storage"/>
  </cacheSource>
  <cacheFields count="12">
    <cacheField name="Pipeline?" numFmtId="0">
      <sharedItems count="2">
        <s v="Pipeline Allowed"/>
        <s v="Pipeline Disallowed"/>
      </sharedItems>
    </cacheField>
    <cacheField name="Country " numFmtId="0">
      <sharedItems count="2">
        <s v="Denmark"/>
        <s v="Germany"/>
      </sharedItems>
    </cacheField>
    <cacheField name="Location " numFmtId="0">
      <sharedItems/>
    </cacheField>
    <cacheField name="Mode of Transport" numFmtId="0">
      <sharedItems containsBlank="1" count="7">
        <s v="Located at storage hub"/>
        <s v="Rail"/>
        <s v="Barge"/>
        <s v="Pipeline"/>
        <m u="1"/>
        <s v="Rail " u="1"/>
        <s v="Barge " u="1"/>
      </sharedItems>
    </cacheField>
    <cacheField name="Transport Hub" numFmtId="0">
      <sharedItems count="6">
        <s v="Aalborg"/>
        <s v="Esbjerg"/>
        <s v="Rotterdam"/>
        <s v="Ravenna"/>
        <s v="Ruby"/>
        <s v="Rotterdam " u="1"/>
      </sharedItems>
    </cacheField>
    <cacheField name="Storage Type" numFmtId="0">
      <sharedItems/>
    </cacheField>
    <cacheField name="Sector Germany" numFmtId="0">
      <sharedItems containsBlank="1" count="4">
        <s v="Denmark"/>
        <s v="North"/>
        <s v="South"/>
        <m u="1"/>
      </sharedItems>
    </cacheField>
    <cacheField name="Cost per t/CO2 in 2024" numFmtId="2">
      <sharedItems containsSemiMixedTypes="0" containsString="0" containsNumber="1" minValue="33.299999999999997" maxValue="121.04"/>
    </cacheField>
    <cacheField name="Cost per t/CO2 in 2025" numFmtId="2">
      <sharedItems containsSemiMixedTypes="0" containsString="0" containsNumber="1" minValue="34.132499999999993" maxValue="124.066"/>
    </cacheField>
    <cacheField name="Conditioning Cost" numFmtId="2">
      <sharedItems containsSemiMixedTypes="0" containsString="0" containsNumber="1" minValue="15" maxValue="17.5"/>
    </cacheField>
    <cacheField name="Storage Cost" numFmtId="2">
      <sharedItems containsSemiMixedTypes="0" containsString="0" containsNumber="1" containsInteger="1" minValue="15" maxValue="30"/>
    </cacheField>
    <cacheField name="Transport Cost" numFmtId="2">
      <sharedItems containsSemiMixedTypes="0" containsString="0" containsNumber="1" minValue="4.1324999999999932" maxValue="76.566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x v="0"/>
    <n v="33.299999999999997"/>
    <n v="33.999299999999991"/>
  </r>
  <r>
    <x v="1"/>
    <x v="0"/>
    <x v="0"/>
    <n v="33.86"/>
    <n v="34.571059999999996"/>
  </r>
  <r>
    <x v="1"/>
    <x v="1"/>
    <x v="1"/>
    <n v="121"/>
    <n v="123.54099999999998"/>
  </r>
  <r>
    <x v="1"/>
    <x v="1"/>
    <x v="2"/>
    <n v="120.6"/>
    <n v="123.13259999999998"/>
  </r>
  <r>
    <x v="1"/>
    <x v="1"/>
    <x v="3"/>
    <n v="120.4"/>
    <n v="122.9284"/>
  </r>
  <r>
    <x v="1"/>
    <x v="1"/>
    <x v="4"/>
    <n v="117.5"/>
    <n v="119.96749999999999"/>
  </r>
  <r>
    <x v="1"/>
    <x v="1"/>
    <x v="5"/>
    <n v="115.23"/>
    <n v="117.64982999999999"/>
  </r>
  <r>
    <x v="1"/>
    <x v="1"/>
    <x v="6"/>
    <n v="114.96"/>
    <n v="117.37415999999999"/>
  </r>
  <r>
    <x v="1"/>
    <x v="1"/>
    <x v="7"/>
    <n v="114.89"/>
    <n v="117.30268999999998"/>
  </r>
  <r>
    <x v="1"/>
    <x v="1"/>
    <x v="8"/>
    <n v="114"/>
    <n v="116.39399999999999"/>
  </r>
  <r>
    <x v="1"/>
    <x v="1"/>
    <x v="9"/>
    <n v="113.6"/>
    <n v="115.98559999999998"/>
  </r>
  <r>
    <x v="1"/>
    <x v="1"/>
    <x v="10"/>
    <n v="112.3"/>
    <n v="114.65829999999998"/>
  </r>
  <r>
    <x v="1"/>
    <x v="1"/>
    <x v="11"/>
    <n v="109.9"/>
    <n v="112.2079"/>
  </r>
  <r>
    <x v="1"/>
    <x v="1"/>
    <x v="12"/>
    <n v="109.9"/>
    <n v="112.2079"/>
  </r>
  <r>
    <x v="1"/>
    <x v="1"/>
    <x v="13"/>
    <n v="109.4"/>
    <n v="111.6974"/>
  </r>
  <r>
    <x v="1"/>
    <x v="1"/>
    <x v="14"/>
    <n v="108.8"/>
    <n v="111.08479999999999"/>
  </r>
  <r>
    <x v="1"/>
    <x v="1"/>
    <x v="15"/>
    <n v="108.8"/>
    <n v="111.08479999999999"/>
  </r>
  <r>
    <x v="1"/>
    <x v="1"/>
    <x v="16"/>
    <n v="108.5"/>
    <n v="110.77849999999999"/>
  </r>
  <r>
    <x v="1"/>
    <x v="1"/>
    <x v="17"/>
    <n v="108.5"/>
    <n v="110.77849999999999"/>
  </r>
  <r>
    <x v="1"/>
    <x v="1"/>
    <x v="18"/>
    <n v="108.4"/>
    <n v="110.6764"/>
  </r>
  <r>
    <x v="1"/>
    <x v="1"/>
    <x v="19"/>
    <n v="108.2"/>
    <n v="110.47219999999999"/>
  </r>
  <r>
    <x v="1"/>
    <x v="1"/>
    <x v="20"/>
    <n v="108.1"/>
    <n v="110.37009999999998"/>
  </r>
  <r>
    <x v="1"/>
    <x v="1"/>
    <x v="21"/>
    <n v="106.9"/>
    <n v="109.14489999999999"/>
  </r>
  <r>
    <x v="1"/>
    <x v="1"/>
    <x v="22"/>
    <n v="104.8"/>
    <n v="107.00079999999998"/>
  </r>
  <r>
    <x v="1"/>
    <x v="1"/>
    <x v="23"/>
    <n v="103.3"/>
    <n v="105.46929999999999"/>
  </r>
  <r>
    <x v="1"/>
    <x v="1"/>
    <x v="24"/>
    <n v="102.7"/>
    <n v="104.85669999999999"/>
  </r>
  <r>
    <x v="1"/>
    <x v="1"/>
    <x v="25"/>
    <n v="99.7"/>
    <n v="101.79369999999999"/>
  </r>
  <r>
    <x v="1"/>
    <x v="1"/>
    <x v="26"/>
    <n v="99.7"/>
    <n v="101.79369999999999"/>
  </r>
  <r>
    <x v="1"/>
    <x v="1"/>
    <x v="27"/>
    <n v="99.6"/>
    <n v="101.69159999999998"/>
  </r>
  <r>
    <x v="1"/>
    <x v="1"/>
    <x v="28"/>
    <n v="99"/>
    <n v="101.07899999999999"/>
  </r>
  <r>
    <x v="1"/>
    <x v="1"/>
    <x v="29"/>
    <n v="98.6"/>
    <n v="100.67059999999998"/>
  </r>
  <r>
    <x v="1"/>
    <x v="1"/>
    <x v="30"/>
    <n v="98.4"/>
    <n v="100.46639999999999"/>
  </r>
  <r>
    <x v="1"/>
    <x v="1"/>
    <x v="31"/>
    <n v="97.2"/>
    <n v="99.241199999999992"/>
  </r>
  <r>
    <x v="1"/>
    <x v="1"/>
    <x v="32"/>
    <n v="96.5"/>
    <n v="98.526499999999984"/>
  </r>
  <r>
    <x v="1"/>
    <x v="1"/>
    <x v="33"/>
    <n v="96.1"/>
    <n v="98.118099999999984"/>
  </r>
  <r>
    <x v="1"/>
    <x v="1"/>
    <x v="34"/>
    <n v="95.2"/>
    <n v="97.19919999999999"/>
  </r>
  <r>
    <x v="1"/>
    <x v="1"/>
    <x v="35"/>
    <n v="94.8"/>
    <n v="96.79079999999999"/>
  </r>
  <r>
    <x v="1"/>
    <x v="1"/>
    <x v="36"/>
    <n v="94.4"/>
    <n v="96.382400000000004"/>
  </r>
  <r>
    <x v="1"/>
    <x v="1"/>
    <x v="37"/>
    <n v="94"/>
    <n v="95.97399999999999"/>
  </r>
  <r>
    <x v="1"/>
    <x v="1"/>
    <x v="38"/>
    <n v="93.5"/>
    <n v="95.463499999999996"/>
  </r>
  <r>
    <x v="1"/>
    <x v="1"/>
    <x v="39"/>
    <n v="92.8"/>
    <n v="94.748799999999989"/>
  </r>
  <r>
    <x v="1"/>
    <x v="1"/>
    <x v="40"/>
    <n v="91.2"/>
    <n v="93.115200000000002"/>
  </r>
  <r>
    <x v="1"/>
    <x v="1"/>
    <x v="41"/>
    <n v="90.4"/>
    <n v="92.298400000000001"/>
  </r>
  <r>
    <x v="1"/>
    <x v="1"/>
    <x v="42"/>
    <n v="87"/>
    <n v="88.826999999999998"/>
  </r>
  <r>
    <x v="1"/>
    <x v="1"/>
    <x v="43"/>
    <n v="81.7"/>
    <n v="83.415700000000001"/>
  </r>
  <r>
    <x v="1"/>
    <x v="1"/>
    <x v="44"/>
    <n v="81.099999999999994"/>
    <n v="82.803099999999986"/>
  </r>
  <r>
    <x v="1"/>
    <x v="1"/>
    <x v="45"/>
    <n v="80.5"/>
    <n v="82.190499999999986"/>
  </r>
  <r>
    <x v="1"/>
    <x v="1"/>
    <x v="46"/>
    <n v="77.900000000000006"/>
    <n v="79.535899999999998"/>
  </r>
  <r>
    <x v="0"/>
    <x v="1"/>
    <x v="8"/>
    <n v="114"/>
    <n v="116.39399999999999"/>
  </r>
  <r>
    <x v="0"/>
    <x v="1"/>
    <x v="42"/>
    <n v="85.5"/>
    <n v="87.29549999999999"/>
  </r>
  <r>
    <x v="0"/>
    <x v="1"/>
    <x v="15"/>
    <n v="83.9"/>
    <n v="85.661900000000003"/>
  </r>
  <r>
    <x v="0"/>
    <x v="1"/>
    <x v="19"/>
    <n v="83.9"/>
    <n v="85.661900000000003"/>
  </r>
  <r>
    <x v="0"/>
    <x v="1"/>
    <x v="11"/>
    <n v="83.7"/>
    <n v="85.457699999999988"/>
  </r>
  <r>
    <x v="0"/>
    <x v="1"/>
    <x v="18"/>
    <n v="82.8"/>
    <n v="84.538799999999995"/>
  </r>
  <r>
    <x v="0"/>
    <x v="1"/>
    <x v="14"/>
    <n v="82.7"/>
    <n v="84.436700000000002"/>
  </r>
  <r>
    <x v="0"/>
    <x v="1"/>
    <x v="16"/>
    <n v="82.7"/>
    <n v="84.436700000000002"/>
  </r>
  <r>
    <x v="0"/>
    <x v="1"/>
    <x v="17"/>
    <n v="82.7"/>
    <n v="84.436700000000002"/>
  </r>
  <r>
    <x v="0"/>
    <x v="1"/>
    <x v="20"/>
    <n v="78.400000000000006"/>
    <n v="80.046400000000006"/>
  </r>
  <r>
    <x v="0"/>
    <x v="1"/>
    <x v="43"/>
    <n v="77.400000000000006"/>
    <n v="79.025400000000005"/>
  </r>
  <r>
    <x v="0"/>
    <x v="1"/>
    <x v="44"/>
    <n v="77.2"/>
    <n v="78.82119999999999"/>
  </r>
  <r>
    <x v="0"/>
    <x v="1"/>
    <x v="40"/>
    <n v="76.599999999999994"/>
    <n v="78.20859999999999"/>
  </r>
  <r>
    <x v="0"/>
    <x v="1"/>
    <x v="45"/>
    <n v="76.5"/>
    <n v="78.106499999999997"/>
  </r>
  <r>
    <x v="0"/>
    <x v="1"/>
    <x v="41"/>
    <n v="75.900000000000006"/>
    <n v="77.493899999999996"/>
  </r>
  <r>
    <x v="0"/>
    <x v="1"/>
    <x v="22"/>
    <n v="75.5"/>
    <n v="77.085499999999996"/>
  </r>
  <r>
    <x v="0"/>
    <x v="1"/>
    <x v="23"/>
    <n v="73.8"/>
    <n v="75.349799999999988"/>
  </r>
  <r>
    <x v="0"/>
    <x v="1"/>
    <x v="46"/>
    <n v="72.400000000000006"/>
    <n v="73.920400000000001"/>
  </r>
  <r>
    <x v="0"/>
    <x v="1"/>
    <x v="27"/>
    <n v="71.5"/>
    <n v="73.001499999999993"/>
  </r>
  <r>
    <x v="0"/>
    <x v="1"/>
    <x v="26"/>
    <n v="71.3"/>
    <n v="72.797299999999993"/>
  </r>
  <r>
    <x v="0"/>
    <x v="1"/>
    <x v="25"/>
    <n v="71.099999999999994"/>
    <n v="72.593099999999993"/>
  </r>
  <r>
    <x v="0"/>
    <x v="1"/>
    <x v="24"/>
    <n v="70.2"/>
    <n v="71.674199999999999"/>
  </r>
  <r>
    <x v="0"/>
    <x v="1"/>
    <x v="29"/>
    <n v="70.2"/>
    <n v="71.674199999999999"/>
  </r>
  <r>
    <x v="0"/>
    <x v="1"/>
    <x v="30"/>
    <n v="70.2"/>
    <n v="71.674199999999999"/>
  </r>
  <r>
    <x v="0"/>
    <x v="1"/>
    <x v="31"/>
    <n v="69.8"/>
    <n v="71.265799999999984"/>
  </r>
  <r>
    <x v="0"/>
    <x v="1"/>
    <x v="33"/>
    <n v="69.400000000000006"/>
    <n v="70.857399999999998"/>
  </r>
  <r>
    <x v="0"/>
    <x v="1"/>
    <x v="34"/>
    <n v="69.099999999999994"/>
    <n v="70.551099999999991"/>
  </r>
  <r>
    <x v="0"/>
    <x v="1"/>
    <x v="32"/>
    <n v="68.400000000000006"/>
    <n v="69.836399999999998"/>
  </r>
  <r>
    <x v="0"/>
    <x v="1"/>
    <x v="36"/>
    <n v="68.2"/>
    <n v="69.632199999999997"/>
  </r>
  <r>
    <x v="0"/>
    <x v="1"/>
    <x v="35"/>
    <n v="68.099999999999994"/>
    <n v="69.53009999999999"/>
  </r>
  <r>
    <x v="0"/>
    <x v="1"/>
    <x v="37"/>
    <n v="66.900000000000006"/>
    <n v="68.304900000000004"/>
  </r>
  <r>
    <x v="0"/>
    <x v="1"/>
    <x v="38"/>
    <n v="66.099999999999994"/>
    <n v="67.488099999999989"/>
  </r>
  <r>
    <x v="0"/>
    <x v="1"/>
    <x v="39"/>
    <n v="61.9"/>
    <n v="63.199899999999992"/>
  </r>
  <r>
    <x v="0"/>
    <x v="1"/>
    <x v="10"/>
    <n v="59.3"/>
    <n v="60.54529999999999"/>
  </r>
  <r>
    <x v="0"/>
    <x v="1"/>
    <x v="2"/>
    <n v="48.9"/>
    <n v="49.926899999999996"/>
  </r>
  <r>
    <x v="0"/>
    <x v="1"/>
    <x v="21"/>
    <n v="46.4"/>
    <n v="47.374399999999994"/>
  </r>
  <r>
    <x v="0"/>
    <x v="1"/>
    <x v="4"/>
    <n v="46.1"/>
    <n v="47.068099999999994"/>
  </r>
  <r>
    <x v="0"/>
    <x v="1"/>
    <x v="3"/>
    <n v="46"/>
    <n v="46.965999999999994"/>
  </r>
  <r>
    <x v="0"/>
    <x v="1"/>
    <x v="9"/>
    <n v="46"/>
    <n v="46.965999999999994"/>
  </r>
  <r>
    <x v="0"/>
    <x v="1"/>
    <x v="5"/>
    <n v="45.6"/>
    <n v="46.557600000000001"/>
  </r>
  <r>
    <x v="0"/>
    <x v="1"/>
    <x v="6"/>
    <n v="45.6"/>
    <n v="46.557600000000001"/>
  </r>
  <r>
    <x v="0"/>
    <x v="1"/>
    <x v="7"/>
    <n v="45.6"/>
    <n v="46.557600000000001"/>
  </r>
  <r>
    <x v="0"/>
    <x v="1"/>
    <x v="12"/>
    <n v="43.8"/>
    <n v="44.719799999999992"/>
  </r>
  <r>
    <x v="0"/>
    <x v="1"/>
    <x v="13"/>
    <n v="43.7"/>
    <n v="44.617699999999999"/>
  </r>
  <r>
    <x v="0"/>
    <x v="1"/>
    <x v="1"/>
    <n v="41.8"/>
    <n v="42.677799999999991"/>
  </r>
  <r>
    <x v="0"/>
    <x v="1"/>
    <x v="28"/>
    <n v="37.4"/>
    <n v="38.1853999999999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s v="Aalborg"/>
    <x v="0"/>
    <x v="0"/>
    <s v="Onshore"/>
    <x v="0"/>
    <n v="33.299999999999997"/>
    <n v="34.132499999999993"/>
    <n v="15"/>
    <n v="15"/>
    <n v="4.1324999999999932"/>
  </r>
  <r>
    <x v="1"/>
    <x v="0"/>
    <s v="Aalborg"/>
    <x v="0"/>
    <x v="0"/>
    <s v="Onshore"/>
    <x v="0"/>
    <n v="33.86"/>
    <n v="34.706499999999998"/>
    <n v="15"/>
    <n v="15"/>
    <n v="4.7064999999999984"/>
  </r>
  <r>
    <x v="1"/>
    <x v="1"/>
    <s v="Kalkwerke Rüdersdorf"/>
    <x v="1"/>
    <x v="1"/>
    <s v="Offshore"/>
    <x v="1"/>
    <n v="121.04"/>
    <n v="124.066"/>
    <n v="17.5"/>
    <n v="30"/>
    <n v="76.566000000000003"/>
  </r>
  <r>
    <x v="1"/>
    <x v="1"/>
    <s v="Zementwerk Karsdorf"/>
    <x v="1"/>
    <x v="1"/>
    <s v="Offshore"/>
    <x v="1"/>
    <n v="120.59"/>
    <n v="123.60475"/>
    <n v="17.5"/>
    <n v="30"/>
    <n v="76.104749999999996"/>
  </r>
  <r>
    <x v="1"/>
    <x v="1"/>
    <s v="Zementwerk Rüdersdorf"/>
    <x v="1"/>
    <x v="1"/>
    <s v="Offshore"/>
    <x v="1"/>
    <n v="120.38"/>
    <n v="123.38949999999998"/>
    <n v="17.5"/>
    <n v="30"/>
    <n v="75.889499999999984"/>
  </r>
  <r>
    <x v="1"/>
    <x v="1"/>
    <s v="Zementwerk Bernburg"/>
    <x v="1"/>
    <x v="1"/>
    <s v="Offshore"/>
    <x v="1"/>
    <n v="117.54"/>
    <n v="120.4785"/>
    <n v="17.5"/>
    <n v="30"/>
    <n v="72.978499999999997"/>
  </r>
  <r>
    <x v="1"/>
    <x v="1"/>
    <s v="Fels KH NSO 1-5 Oberharz am Brocken"/>
    <x v="1"/>
    <x v="1"/>
    <s v="Offshore"/>
    <x v="1"/>
    <n v="115.23"/>
    <n v="118.11075"/>
    <n v="17.5"/>
    <n v="30"/>
    <n v="70.610749999999996"/>
  </r>
  <r>
    <x v="1"/>
    <x v="1"/>
    <s v="Fels KR NSO 1-8 Oberharz am Brocken"/>
    <x v="1"/>
    <x v="1"/>
    <s v="Offshore"/>
    <x v="1"/>
    <n v="114.96"/>
    <n v="117.83399999999999"/>
    <n v="17.5"/>
    <n v="30"/>
    <n v="70.333999999999989"/>
  </r>
  <r>
    <x v="1"/>
    <x v="1"/>
    <s v="Fels KK GGR 6 Oberharz am Brocken"/>
    <x v="1"/>
    <x v="1"/>
    <s v="Offshore"/>
    <x v="1"/>
    <n v="114.89"/>
    <n v="117.76224999999999"/>
    <n v="17.5"/>
    <n v="30"/>
    <n v="70.262249999999995"/>
  </r>
  <r>
    <x v="1"/>
    <x v="1"/>
    <s v="Zementwerk Dotternhausen"/>
    <x v="1"/>
    <x v="2"/>
    <s v="Offshore"/>
    <x v="2"/>
    <n v="114.01"/>
    <n v="116.86024999999999"/>
    <n v="17.5"/>
    <n v="30"/>
    <n v="69.360249999999994"/>
  </r>
  <r>
    <x v="1"/>
    <x v="1"/>
    <s v="Kalkwerk Seesen"/>
    <x v="1"/>
    <x v="1"/>
    <s v="Offshore"/>
    <x v="1"/>
    <n v="113.63"/>
    <n v="116.47074999999998"/>
    <n v="17.5"/>
    <n v="30"/>
    <n v="68.970749999999981"/>
  </r>
  <r>
    <x v="1"/>
    <x v="1"/>
    <s v="Zementwerk Burglengenfeld"/>
    <x v="1"/>
    <x v="3"/>
    <s v="Offshore"/>
    <x v="2"/>
    <n v="112.33"/>
    <n v="115.13824999999999"/>
    <n v="17.5"/>
    <n v="30"/>
    <n v="67.638249999999985"/>
  </r>
  <r>
    <x v="1"/>
    <x v="1"/>
    <s v="Zementwerk Solnhofen"/>
    <x v="1"/>
    <x v="3"/>
    <s v="Offshore"/>
    <x v="2"/>
    <n v="109.89"/>
    <n v="112.63724999999999"/>
    <n v="17.5"/>
    <n v="30"/>
    <n v="65.137249999999995"/>
  </r>
  <r>
    <x v="1"/>
    <x v="1"/>
    <s v="Zementwerk Sehnde"/>
    <x v="1"/>
    <x v="1"/>
    <s v="Offshore"/>
    <x v="1"/>
    <n v="109.86"/>
    <n v="112.60649999999998"/>
    <n v="17.5"/>
    <n v="30"/>
    <n v="65.106499999999983"/>
  </r>
  <r>
    <x v="1"/>
    <x v="1"/>
    <s v="Zementwerk Hannover"/>
    <x v="1"/>
    <x v="1"/>
    <s v="Offshore"/>
    <x v="1"/>
    <n v="109.4"/>
    <n v="112.13499999999999"/>
    <n v="17.5"/>
    <n v="30"/>
    <n v="64.634999999999991"/>
  </r>
  <r>
    <x v="1"/>
    <x v="1"/>
    <s v="Kalkwerke Blaustein"/>
    <x v="1"/>
    <x v="3"/>
    <s v="Offshore"/>
    <x v="2"/>
    <n v="108.8"/>
    <n v="111.51999999999998"/>
    <n v="17.5"/>
    <n v="30"/>
    <n v="64.019999999999982"/>
  </r>
  <r>
    <x v="1"/>
    <x v="1"/>
    <s v="Kalkwerke Harburg"/>
    <x v="1"/>
    <x v="3"/>
    <s v="Offshore"/>
    <x v="2"/>
    <n v="108.77"/>
    <n v="111.48924999999998"/>
    <n v="17.5"/>
    <n v="30"/>
    <n v="63.989249999999984"/>
  </r>
  <r>
    <x v="1"/>
    <x v="1"/>
    <s v="Zementwerk Schelklingen"/>
    <x v="1"/>
    <x v="3"/>
    <s v="Offshore"/>
    <x v="2"/>
    <n v="108.48"/>
    <n v="111.19199999999999"/>
    <n v="17.5"/>
    <n v="30"/>
    <n v="63.691999999999993"/>
  </r>
  <r>
    <x v="1"/>
    <x v="1"/>
    <s v="Zementwerk Allmendingen"/>
    <x v="1"/>
    <x v="3"/>
    <s v="Offshore"/>
    <x v="2"/>
    <n v="108.45"/>
    <n v="111.16125"/>
    <n v="17.5"/>
    <n v="30"/>
    <n v="63.661249999999995"/>
  </r>
  <r>
    <x v="1"/>
    <x v="1"/>
    <s v="Zementwerk Heidenheim an der Brenz"/>
    <x v="1"/>
    <x v="3"/>
    <s v="Offshore"/>
    <x v="2"/>
    <n v="108.44"/>
    <n v="111.15099999999998"/>
    <n v="17.5"/>
    <n v="30"/>
    <n v="63.650999999999982"/>
  </r>
  <r>
    <x v="1"/>
    <x v="1"/>
    <s v="Zementwerk Harburg"/>
    <x v="1"/>
    <x v="3"/>
    <s v="Offshore"/>
    <x v="2"/>
    <n v="108.24"/>
    <n v="110.94599999999998"/>
    <n v="17.5"/>
    <n v="30"/>
    <n v="63.445999999999984"/>
  </r>
  <r>
    <x v="1"/>
    <x v="1"/>
    <s v="Zementwerk Walzbachtal"/>
    <x v="1"/>
    <x v="2"/>
    <s v="Offshore"/>
    <x v="2"/>
    <n v="108.1"/>
    <n v="110.80249999999998"/>
    <n v="17.5"/>
    <n v="30"/>
    <n v="63.302499999999981"/>
  </r>
  <r>
    <x v="1"/>
    <x v="1"/>
    <s v="Zementwerk Niederorschel"/>
    <x v="1"/>
    <x v="2"/>
    <s v="Offshore"/>
    <x v="1"/>
    <n v="106.94"/>
    <n v="109.61349999999999"/>
    <n v="17.5"/>
    <n v="30"/>
    <n v="62.113499999999988"/>
  </r>
  <r>
    <x v="1"/>
    <x v="1"/>
    <s v="Zementwerk Großenlüder"/>
    <x v="1"/>
    <x v="2"/>
    <s v="Offshore"/>
    <x v="2"/>
    <n v="104.75"/>
    <n v="107.36874999999999"/>
    <n v="17.5"/>
    <n v="30"/>
    <n v="59.868749999999991"/>
  </r>
  <r>
    <x v="1"/>
    <x v="1"/>
    <s v="Zementwerk Göllheim"/>
    <x v="1"/>
    <x v="2"/>
    <s v="Offshore"/>
    <x v="2"/>
    <n v="103.33"/>
    <n v="105.91324999999999"/>
    <n v="17.5"/>
    <n v="30"/>
    <n v="58.413249999999991"/>
  </r>
  <r>
    <x v="1"/>
    <x v="1"/>
    <s v="Zementwerk Rohrdorf"/>
    <x v="1"/>
    <x v="3"/>
    <s v="Offshore"/>
    <x v="2"/>
    <n v="102.67"/>
    <n v="105.23674999999999"/>
    <n v="17.5"/>
    <n v="30"/>
    <n v="57.736749999999986"/>
  </r>
  <r>
    <x v="1"/>
    <x v="1"/>
    <s v="Brennanlage Runkel"/>
    <x v="1"/>
    <x v="2"/>
    <s v="Offshore"/>
    <x v="2"/>
    <n v="99.67"/>
    <n v="102.16175"/>
    <n v="17.5"/>
    <n v="30"/>
    <n v="54.661749999999998"/>
  </r>
  <r>
    <x v="1"/>
    <x v="1"/>
    <s v="Kalkwerk Hahnstätten"/>
    <x v="1"/>
    <x v="2"/>
    <s v="Offshore"/>
    <x v="2"/>
    <n v="99.67"/>
    <n v="102.16175"/>
    <n v="17.5"/>
    <n v="30"/>
    <n v="54.661749999999998"/>
  </r>
  <r>
    <x v="1"/>
    <x v="1"/>
    <s v="Zementwerk Paderborn"/>
    <x v="1"/>
    <x v="2"/>
    <s v="Offshore"/>
    <x v="1"/>
    <n v="99.57"/>
    <n v="102.05924999999998"/>
    <n v="17.5"/>
    <n v="30"/>
    <n v="54.559249999999977"/>
  </r>
  <r>
    <x v="1"/>
    <x v="1"/>
    <s v="Drehofen 11 Lägerdorf"/>
    <x v="1"/>
    <x v="1"/>
    <s v="Offshore"/>
    <x v="1"/>
    <n v="99.02"/>
    <n v="101.49549999999999"/>
    <n v="17.5"/>
    <n v="30"/>
    <n v="53.995499999999993"/>
  </r>
  <r>
    <x v="1"/>
    <x v="1"/>
    <s v="Zementwerk Geseke"/>
    <x v="1"/>
    <x v="2"/>
    <s v="Offshore"/>
    <x v="1"/>
    <n v="98.56"/>
    <n v="101.02399999999999"/>
    <n v="17.5"/>
    <n v="30"/>
    <n v="53.523999999999987"/>
  </r>
  <r>
    <x v="1"/>
    <x v="1"/>
    <s v="Kalkwerk Warstein "/>
    <x v="1"/>
    <x v="2"/>
    <s v="Offshore"/>
    <x v="1"/>
    <n v="98.44"/>
    <n v="100.90099999999998"/>
    <n v="17.5"/>
    <n v="30"/>
    <n v="53.400999999999982"/>
  </r>
  <r>
    <x v="1"/>
    <x v="1"/>
    <s v="Zementwerk Erwitte"/>
    <x v="1"/>
    <x v="2"/>
    <s v="Offshore"/>
    <x v="1"/>
    <n v="97.24"/>
    <n v="99.670999999999992"/>
    <n v="17.5"/>
    <n v="30"/>
    <n v="52.170999999999992"/>
  </r>
  <r>
    <x v="1"/>
    <x v="1"/>
    <s v="Zementwerk Üxheim"/>
    <x v="1"/>
    <x v="2"/>
    <s v="Offshore"/>
    <x v="2"/>
    <n v="96.54"/>
    <n v="98.953499999999991"/>
    <n v="17.5"/>
    <n v="30"/>
    <n v="51.453499999999991"/>
  </r>
  <r>
    <x v="1"/>
    <x v="1"/>
    <s v="Zementwerk Beckum"/>
    <x v="1"/>
    <x v="2"/>
    <s v="Offshore"/>
    <x v="1"/>
    <n v="96.1"/>
    <n v="98.502499999999984"/>
    <n v="17.5"/>
    <n v="30"/>
    <n v="51.002499999999984"/>
  </r>
  <r>
    <x v="1"/>
    <x v="1"/>
    <s v="Zementwerk Enningerloh"/>
    <x v="1"/>
    <x v="2"/>
    <s v="Offshore"/>
    <x v="1"/>
    <n v="95.22"/>
    <n v="97.600499999999997"/>
    <n v="17.5"/>
    <n v="30"/>
    <n v="50.100499999999997"/>
  </r>
  <r>
    <x v="1"/>
    <x v="1"/>
    <s v="Kalkwerk Lienen"/>
    <x v="1"/>
    <x v="2"/>
    <s v="Offshore"/>
    <x v="1"/>
    <n v="94.84"/>
    <n v="97.210999999999999"/>
    <n v="17.5"/>
    <n v="30"/>
    <n v="49.710999999999999"/>
  </r>
  <r>
    <x v="1"/>
    <x v="1"/>
    <s v="Brennen von Kalkstein Menden"/>
    <x v="1"/>
    <x v="2"/>
    <s v="Offshore"/>
    <x v="1"/>
    <n v="94.43"/>
    <n v="96.790750000000003"/>
    <n v="17.5"/>
    <n v="30"/>
    <n v="49.290750000000003"/>
  </r>
  <r>
    <x v="1"/>
    <x v="1"/>
    <s v="Zementherstellung Lengerich"/>
    <x v="1"/>
    <x v="2"/>
    <s v="Offshore"/>
    <x v="1"/>
    <n v="94.03"/>
    <n v="96.380749999999992"/>
    <n v="17.5"/>
    <n v="30"/>
    <n v="48.880749999999992"/>
  </r>
  <r>
    <x v="1"/>
    <x v="1"/>
    <s v="Kalksteinbrennöfen Wuppertal"/>
    <x v="1"/>
    <x v="2"/>
    <s v="Offshore"/>
    <x v="1"/>
    <n v="93.5"/>
    <n v="95.837499999999991"/>
    <n v="17.5"/>
    <n v="30"/>
    <n v="48.337499999999991"/>
  </r>
  <r>
    <x v="1"/>
    <x v="1"/>
    <s v="Kalkwerk Wülfrath"/>
    <x v="1"/>
    <x v="2"/>
    <s v="Offshore"/>
    <x v="1"/>
    <n v="92.81"/>
    <n v="95.13024999999999"/>
    <n v="17.5"/>
    <n v="30"/>
    <n v="47.63024999999999"/>
  </r>
  <r>
    <x v="1"/>
    <x v="1"/>
    <s v="Kalkwerke Regensburg"/>
    <x v="2"/>
    <x v="2"/>
    <s v="Offshore"/>
    <x v="2"/>
    <n v="91.2"/>
    <n v="93.47999999999999"/>
    <n v="17.5"/>
    <n v="30"/>
    <n v="45.97999999999999"/>
  </r>
  <r>
    <x v="1"/>
    <x v="1"/>
    <s v="Kalkwerke Saal a. d. Donau"/>
    <x v="2"/>
    <x v="2"/>
    <s v="Offshore"/>
    <x v="2"/>
    <n v="90.35"/>
    <n v="92.608749999999986"/>
    <n v="17.5"/>
    <n v="30"/>
    <n v="45.108749999999986"/>
  </r>
  <r>
    <x v="1"/>
    <x v="1"/>
    <s v="Lhoist Istein"/>
    <x v="2"/>
    <x v="2"/>
    <s v="Offshore"/>
    <x v="2"/>
    <n v="87"/>
    <n v="89.174999999999997"/>
    <n v="17.5"/>
    <n v="30"/>
    <n v="41.674999999999997"/>
  </r>
  <r>
    <x v="1"/>
    <x v="1"/>
    <s v="Zementwerk Karlstadt"/>
    <x v="2"/>
    <x v="2"/>
    <s v="Offshore"/>
    <x v="2"/>
    <n v="81.7"/>
    <n v="83.742499999999993"/>
    <n v="17.5"/>
    <n v="30"/>
    <n v="36.242499999999993"/>
  </r>
  <r>
    <x v="1"/>
    <x v="1"/>
    <s v="Zementwerk Triefenstein"/>
    <x v="2"/>
    <x v="2"/>
    <s v="Offshore"/>
    <x v="2"/>
    <n v="81.11"/>
    <n v="83.137749999999997"/>
    <n v="17.5"/>
    <n v="30"/>
    <n v="35.637749999999997"/>
  </r>
  <r>
    <x v="1"/>
    <x v="1"/>
    <s v="Zementwerk Leimen"/>
    <x v="2"/>
    <x v="2"/>
    <s v="Offshore"/>
    <x v="2"/>
    <n v="80.53"/>
    <n v="82.54325"/>
    <n v="17.5"/>
    <n v="30"/>
    <n v="35.04325"/>
  </r>
  <r>
    <x v="1"/>
    <x v="1"/>
    <s v="Zementwerk Wiesbaden "/>
    <x v="2"/>
    <x v="2"/>
    <s v="Offshore"/>
    <x v="2"/>
    <n v="77.92"/>
    <n v="79.867999999999995"/>
    <n v="17.5"/>
    <n v="30"/>
    <n v="32.367999999999995"/>
  </r>
  <r>
    <x v="0"/>
    <x v="1"/>
    <s v="Zementwerk Dotternhausen"/>
    <x v="1"/>
    <x v="2"/>
    <s v="Offshore"/>
    <x v="2"/>
    <n v="114.01"/>
    <n v="116.86024999999999"/>
    <n v="17.5"/>
    <n v="30"/>
    <n v="69.360249999999994"/>
  </r>
  <r>
    <x v="0"/>
    <x v="1"/>
    <s v="Lhoist Istein"/>
    <x v="3"/>
    <x v="2"/>
    <s v="Offshore"/>
    <x v="2"/>
    <n v="85.47"/>
    <n v="87.606749999999991"/>
    <n v="15"/>
    <n v="30"/>
    <n v="42.606749999999991"/>
  </r>
  <r>
    <x v="0"/>
    <x v="1"/>
    <s v="Kalkwerke Harburg"/>
    <x v="3"/>
    <x v="2"/>
    <s v="Offshore"/>
    <x v="2"/>
    <n v="83.9"/>
    <n v="85.997500000000002"/>
    <n v="15"/>
    <n v="30"/>
    <n v="40.997500000000002"/>
  </r>
  <r>
    <x v="0"/>
    <x v="1"/>
    <s v="Zementwerk Harburg"/>
    <x v="3"/>
    <x v="2"/>
    <s v="Offshore"/>
    <x v="2"/>
    <n v="83.9"/>
    <n v="85.997500000000002"/>
    <n v="15"/>
    <n v="30"/>
    <n v="40.997500000000002"/>
  </r>
  <r>
    <x v="0"/>
    <x v="1"/>
    <s v="Zementwerk Solnhofen"/>
    <x v="3"/>
    <x v="2"/>
    <s v="Offshore"/>
    <x v="2"/>
    <n v="83.68"/>
    <n v="85.772000000000006"/>
    <n v="15"/>
    <n v="30"/>
    <n v="40.772000000000006"/>
  </r>
  <r>
    <x v="0"/>
    <x v="1"/>
    <s v="Zementwerk Heidenheim an der Brenz"/>
    <x v="3"/>
    <x v="2"/>
    <s v="Offshore"/>
    <x v="2"/>
    <n v="82.78"/>
    <n v="84.849499999999992"/>
    <n v="15"/>
    <n v="30"/>
    <n v="39.849499999999992"/>
  </r>
  <r>
    <x v="0"/>
    <x v="1"/>
    <s v="Kalkwerke Blaustein"/>
    <x v="3"/>
    <x v="2"/>
    <s v="Offshore"/>
    <x v="2"/>
    <n v="82.7"/>
    <n v="84.767499999999998"/>
    <n v="15"/>
    <n v="30"/>
    <n v="39.767499999999998"/>
  </r>
  <r>
    <x v="0"/>
    <x v="1"/>
    <s v="Zementwerk Schelklingen"/>
    <x v="3"/>
    <x v="2"/>
    <s v="Offshore"/>
    <x v="2"/>
    <n v="82.7"/>
    <n v="84.767499999999998"/>
    <n v="15"/>
    <n v="30"/>
    <n v="39.767499999999998"/>
  </r>
  <r>
    <x v="0"/>
    <x v="1"/>
    <s v="Zementwerk Allmendingen"/>
    <x v="3"/>
    <x v="2"/>
    <s v="Offshore"/>
    <x v="2"/>
    <n v="82.7"/>
    <n v="84.767499999999998"/>
    <n v="15"/>
    <n v="30"/>
    <n v="39.767499999999998"/>
  </r>
  <r>
    <x v="0"/>
    <x v="1"/>
    <s v="Zementwerk Walzbachtal"/>
    <x v="3"/>
    <x v="2"/>
    <s v="Offshore"/>
    <x v="2"/>
    <n v="78.44"/>
    <n v="80.400999999999996"/>
    <n v="15"/>
    <n v="30"/>
    <n v="35.400999999999996"/>
  </r>
  <r>
    <x v="0"/>
    <x v="1"/>
    <s v="Zementwerk Karlstadt"/>
    <x v="3"/>
    <x v="2"/>
    <s v="Offshore"/>
    <x v="2"/>
    <n v="77.41"/>
    <n v="79.345249999999993"/>
    <n v="15"/>
    <n v="30"/>
    <n v="34.345249999999993"/>
  </r>
  <r>
    <x v="0"/>
    <x v="1"/>
    <s v="Zementwerk Triefenstein"/>
    <x v="3"/>
    <x v="2"/>
    <s v="Offshore"/>
    <x v="2"/>
    <n v="77.19"/>
    <n v="79.119749999999996"/>
    <n v="15"/>
    <n v="30"/>
    <n v="34.119749999999996"/>
  </r>
  <r>
    <x v="0"/>
    <x v="1"/>
    <s v="Kalkwerke Regensburg"/>
    <x v="3"/>
    <x v="3"/>
    <s v="Offshore"/>
    <x v="2"/>
    <n v="76.569999999999993"/>
    <n v="78.484249999999989"/>
    <n v="15"/>
    <n v="30"/>
    <n v="33.484249999999989"/>
  </r>
  <r>
    <x v="0"/>
    <x v="1"/>
    <s v="Zementwerk Leimen"/>
    <x v="3"/>
    <x v="2"/>
    <s v="Offshore"/>
    <x v="2"/>
    <n v="76.47"/>
    <n v="78.381749999999997"/>
    <n v="15"/>
    <n v="30"/>
    <n v="33.381749999999997"/>
  </r>
  <r>
    <x v="0"/>
    <x v="1"/>
    <s v="Kalkwerke Saal a. d. Donau"/>
    <x v="3"/>
    <x v="3"/>
    <s v="Offshore"/>
    <x v="2"/>
    <n v="75.900000000000006"/>
    <n v="77.797499999999999"/>
    <n v="15"/>
    <n v="30"/>
    <n v="32.797499999999999"/>
  </r>
  <r>
    <x v="0"/>
    <x v="1"/>
    <s v="Zementwerk Großenlüder"/>
    <x v="3"/>
    <x v="2"/>
    <s v="Offshore"/>
    <x v="2"/>
    <n v="75.53"/>
    <n v="77.41825"/>
    <n v="15"/>
    <n v="30"/>
    <n v="32.41825"/>
  </r>
  <r>
    <x v="0"/>
    <x v="1"/>
    <s v="Zementwerk Göllheim"/>
    <x v="3"/>
    <x v="2"/>
    <s v="Offshore"/>
    <x v="2"/>
    <n v="73.83"/>
    <n v="75.675749999999994"/>
    <n v="15"/>
    <n v="30"/>
    <n v="30.675749999999994"/>
  </r>
  <r>
    <x v="0"/>
    <x v="1"/>
    <s v="Zementwerk Wiesbaden "/>
    <x v="3"/>
    <x v="2"/>
    <s v="Offshore"/>
    <x v="2"/>
    <n v="72.400000000000006"/>
    <n v="74.209999999999994"/>
    <n v="15"/>
    <n v="30"/>
    <n v="29.209999999999994"/>
  </r>
  <r>
    <x v="0"/>
    <x v="1"/>
    <s v="Zementwerk Paderborn"/>
    <x v="3"/>
    <x v="2"/>
    <s v="Offshore"/>
    <x v="1"/>
    <n v="71.55"/>
    <n v="73.33874999999999"/>
    <n v="15"/>
    <n v="30"/>
    <n v="28.33874999999999"/>
  </r>
  <r>
    <x v="0"/>
    <x v="1"/>
    <s v="Kalkwerk Hahnstätten"/>
    <x v="3"/>
    <x v="2"/>
    <s v="Offshore"/>
    <x v="2"/>
    <n v="71.28"/>
    <n v="73.061999999999998"/>
    <n v="15"/>
    <n v="30"/>
    <n v="28.061999999999998"/>
  </r>
  <r>
    <x v="0"/>
    <x v="1"/>
    <s v="Brennanlage Runkel"/>
    <x v="3"/>
    <x v="2"/>
    <s v="Offshore"/>
    <x v="2"/>
    <n v="71.099999999999994"/>
    <n v="72.877499999999984"/>
    <n v="15"/>
    <n v="30"/>
    <n v="27.877499999999984"/>
  </r>
  <r>
    <x v="0"/>
    <x v="1"/>
    <s v="Zementwerk Rohrdorf"/>
    <x v="3"/>
    <x v="3"/>
    <s v="Offshore"/>
    <x v="2"/>
    <n v="70.17"/>
    <n v="71.924250000000001"/>
    <n v="15"/>
    <n v="30"/>
    <n v="26.924250000000001"/>
  </r>
  <r>
    <x v="0"/>
    <x v="1"/>
    <s v="Zementwerk Geseke"/>
    <x v="3"/>
    <x v="2"/>
    <s v="Offshore"/>
    <x v="1"/>
    <n v="70.25"/>
    <n v="72.006249999999994"/>
    <n v="15"/>
    <n v="30"/>
    <n v="27.006249999999994"/>
  </r>
  <r>
    <x v="0"/>
    <x v="1"/>
    <s v="Kalkwerk Warstein "/>
    <x v="3"/>
    <x v="2"/>
    <s v="Offshore"/>
    <x v="1"/>
    <n v="70.2"/>
    <n v="71.954999999999998"/>
    <n v="15"/>
    <n v="30"/>
    <n v="26.954999999999998"/>
  </r>
  <r>
    <x v="0"/>
    <x v="1"/>
    <s v="Zementwerk Erwitte"/>
    <x v="3"/>
    <x v="2"/>
    <s v="Offshore"/>
    <x v="1"/>
    <n v="69.75"/>
    <n v="71.493749999999991"/>
    <n v="15"/>
    <n v="30"/>
    <n v="26.493749999999991"/>
  </r>
  <r>
    <x v="0"/>
    <x v="1"/>
    <s v="Zementwerk Beckum"/>
    <x v="3"/>
    <x v="2"/>
    <s v="Offshore"/>
    <x v="1"/>
    <n v="69.349999999999994"/>
    <n v="71.083749999999995"/>
    <n v="15"/>
    <n v="30"/>
    <n v="26.083749999999995"/>
  </r>
  <r>
    <x v="0"/>
    <x v="1"/>
    <s v="Zementwerk Enningerloh"/>
    <x v="3"/>
    <x v="2"/>
    <s v="Offshore"/>
    <x v="1"/>
    <n v="69.08"/>
    <n v="70.806999999999988"/>
    <n v="15"/>
    <n v="30"/>
    <n v="25.806999999999988"/>
  </r>
  <r>
    <x v="0"/>
    <x v="1"/>
    <s v="Zementwerk Üxheim"/>
    <x v="3"/>
    <x v="2"/>
    <s v="Offshore"/>
    <x v="2"/>
    <n v="68.37"/>
    <n v="70.079250000000002"/>
    <n v="15"/>
    <n v="30"/>
    <n v="25.079250000000002"/>
  </r>
  <r>
    <x v="0"/>
    <x v="1"/>
    <s v="Brennen von Kalkstein Menden"/>
    <x v="3"/>
    <x v="2"/>
    <s v="Offshore"/>
    <x v="1"/>
    <n v="68.19"/>
    <n v="69.894749999999988"/>
    <n v="15"/>
    <n v="30"/>
    <n v="24.894749999999988"/>
  </r>
  <r>
    <x v="0"/>
    <x v="1"/>
    <s v="Kalkwerk Lienen"/>
    <x v="3"/>
    <x v="2"/>
    <s v="Offshore"/>
    <x v="1"/>
    <n v="68.05"/>
    <n v="69.751249999999985"/>
    <n v="15"/>
    <n v="30"/>
    <n v="24.751249999999985"/>
  </r>
  <r>
    <x v="0"/>
    <x v="1"/>
    <s v="Zementherstellung Lengerich"/>
    <x v="3"/>
    <x v="2"/>
    <s v="Offshore"/>
    <x v="1"/>
    <n v="66.89"/>
    <n v="68.562249999999992"/>
    <n v="15"/>
    <n v="30"/>
    <n v="23.562249999999992"/>
  </r>
  <r>
    <x v="0"/>
    <x v="1"/>
    <s v="Kalksteinbrennöfen Wuppertal"/>
    <x v="3"/>
    <x v="2"/>
    <s v="Offshore"/>
    <x v="1"/>
    <n v="66.13"/>
    <n v="67.783249999999995"/>
    <n v="15"/>
    <n v="30"/>
    <n v="22.783249999999995"/>
  </r>
  <r>
    <x v="0"/>
    <x v="1"/>
    <s v="Kalkwerk Wülfrath"/>
    <x v="3"/>
    <x v="2"/>
    <s v="Offshore"/>
    <x v="1"/>
    <n v="61.87"/>
    <n v="63.416749999999993"/>
    <n v="15"/>
    <n v="30"/>
    <n v="18.416749999999993"/>
  </r>
  <r>
    <x v="0"/>
    <x v="1"/>
    <s v="Zementwerk Burglengenfeld"/>
    <x v="3"/>
    <x v="4"/>
    <s v="Onshore"/>
    <x v="2"/>
    <n v="59.29"/>
    <n v="60.772249999999993"/>
    <n v="15"/>
    <n v="15"/>
    <n v="30.772249999999993"/>
  </r>
  <r>
    <x v="0"/>
    <x v="1"/>
    <s v="Zementwerk Karsdorf"/>
    <x v="3"/>
    <x v="4"/>
    <s v="Onshore"/>
    <x v="1"/>
    <n v="48.9"/>
    <n v="50.122499999999995"/>
    <n v="15"/>
    <n v="15"/>
    <n v="20.122499999999995"/>
  </r>
  <r>
    <x v="0"/>
    <x v="1"/>
    <s v="Zementwerk Niederorschel"/>
    <x v="3"/>
    <x v="4"/>
    <s v="Onshore"/>
    <x v="1"/>
    <n v="46.37"/>
    <n v="47.52924999999999"/>
    <n v="15"/>
    <n v="15"/>
    <n v="17.52924999999999"/>
  </r>
  <r>
    <x v="0"/>
    <x v="1"/>
    <s v="Zementwerk Bernburg"/>
    <x v="3"/>
    <x v="4"/>
    <s v="Onshore"/>
    <x v="1"/>
    <n v="46.08"/>
    <n v="47.231999999999992"/>
    <n v="15"/>
    <n v="15"/>
    <n v="17.231999999999992"/>
  </r>
  <r>
    <x v="0"/>
    <x v="1"/>
    <s v="Zementwerk Rüdersdorf"/>
    <x v="3"/>
    <x v="4"/>
    <s v="Onshore"/>
    <x v="1"/>
    <n v="46.03"/>
    <n v="47.180749999999996"/>
    <n v="15"/>
    <n v="15"/>
    <n v="17.180749999999996"/>
  </r>
  <r>
    <x v="0"/>
    <x v="1"/>
    <s v="Kalkwerk Seesen"/>
    <x v="3"/>
    <x v="4"/>
    <s v="Onshore"/>
    <x v="1"/>
    <n v="46.03"/>
    <n v="47.180749999999996"/>
    <n v="15"/>
    <n v="15"/>
    <n v="17.180749999999996"/>
  </r>
  <r>
    <x v="0"/>
    <x v="1"/>
    <s v="Fels KH NSO 1-5 Oberharz am Brocken"/>
    <x v="3"/>
    <x v="4"/>
    <s v="Onshore"/>
    <x v="1"/>
    <n v="45.63"/>
    <n v="46.77075"/>
    <n v="15"/>
    <n v="15"/>
    <n v="16.77075"/>
  </r>
  <r>
    <x v="0"/>
    <x v="1"/>
    <s v="Fels KR NSO 1-8 Oberharz am Brocken"/>
    <x v="3"/>
    <x v="4"/>
    <s v="Onshore"/>
    <x v="1"/>
    <n v="45.63"/>
    <n v="46.77075"/>
    <n v="15"/>
    <n v="15"/>
    <n v="16.77075"/>
  </r>
  <r>
    <x v="0"/>
    <x v="1"/>
    <s v="Fels KK GGR 6 Oberharz am Brocken"/>
    <x v="3"/>
    <x v="4"/>
    <s v="Onshore"/>
    <x v="1"/>
    <n v="45.63"/>
    <n v="46.77075"/>
    <n v="15"/>
    <n v="15"/>
    <n v="16.77075"/>
  </r>
  <r>
    <x v="0"/>
    <x v="1"/>
    <s v="Zementwerk Sehnde"/>
    <x v="3"/>
    <x v="4"/>
    <s v="Onshore"/>
    <x v="1"/>
    <n v="43.84"/>
    <n v="44.936"/>
    <n v="15"/>
    <n v="15"/>
    <n v="14.936"/>
  </r>
  <r>
    <x v="0"/>
    <x v="1"/>
    <s v="Zementwerk Hannover"/>
    <x v="3"/>
    <x v="4"/>
    <s v="Onshore"/>
    <x v="1"/>
    <n v="43.7"/>
    <n v="44.792499999999997"/>
    <n v="15"/>
    <n v="15"/>
    <n v="14.792499999999997"/>
  </r>
  <r>
    <x v="0"/>
    <x v="1"/>
    <s v="Kalkwerke Rüdersdorf"/>
    <x v="3"/>
    <x v="4"/>
    <s v="Onshore"/>
    <x v="1"/>
    <n v="41.84"/>
    <n v="42.886000000000003"/>
    <n v="15"/>
    <n v="15"/>
    <n v="12.886000000000003"/>
  </r>
  <r>
    <x v="0"/>
    <x v="1"/>
    <s v="Drehofen 11 Lägerdorf"/>
    <x v="3"/>
    <x v="4"/>
    <s v="Onshore"/>
    <x v="1"/>
    <n v="37.44"/>
    <n v="38.375999999999998"/>
    <n v="15"/>
    <n v="15"/>
    <n v="8.37599999999999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B1440-B2E3-D24F-8E0D-6626D75FA683}" name="PivotTable3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R25:S72" firstHeaderRow="1" firstDataRow="1" firstDataCol="1" rowPageCount="2" colPageCount="1"/>
  <pivotFields count="5">
    <pivotField axis="axisPage" multipleItemSelectionAllowed="1" showAll="0">
      <items count="3">
        <item x="0"/>
        <item h="1"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sortType="descending">
      <items count="48">
        <item x="0"/>
        <item x="25"/>
        <item x="36"/>
        <item x="28"/>
        <item x="5"/>
        <item x="7"/>
        <item x="6"/>
        <item x="38"/>
        <item x="26"/>
        <item x="35"/>
        <item x="9"/>
        <item x="30"/>
        <item x="39"/>
        <item x="14"/>
        <item x="15"/>
        <item x="40"/>
        <item x="1"/>
        <item x="41"/>
        <item x="42"/>
        <item x="37"/>
        <item x="17"/>
        <item x="33"/>
        <item x="4"/>
        <item x="10"/>
        <item x="8"/>
        <item x="34"/>
        <item x="31"/>
        <item x="29"/>
        <item x="23"/>
        <item x="22"/>
        <item x="13"/>
        <item x="19"/>
        <item x="18"/>
        <item x="43"/>
        <item x="2"/>
        <item x="45"/>
        <item x="21"/>
        <item x="27"/>
        <item x="24"/>
        <item x="3"/>
        <item x="16"/>
        <item x="12"/>
        <item x="11"/>
        <item x="44"/>
        <item x="32"/>
        <item x="20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</pivotFields>
  <rowFields count="1">
    <field x="2"/>
  </rowFields>
  <rowItems count="47">
    <i>
      <x v="24"/>
    </i>
    <i>
      <x v="18"/>
    </i>
    <i>
      <x v="14"/>
    </i>
    <i>
      <x v="31"/>
    </i>
    <i>
      <x v="42"/>
    </i>
    <i>
      <x v="32"/>
    </i>
    <i>
      <x v="13"/>
    </i>
    <i>
      <x v="40"/>
    </i>
    <i>
      <x v="20"/>
    </i>
    <i>
      <x v="45"/>
    </i>
    <i>
      <x v="33"/>
    </i>
    <i>
      <x v="43"/>
    </i>
    <i>
      <x v="15"/>
    </i>
    <i>
      <x v="35"/>
    </i>
    <i>
      <x v="17"/>
    </i>
    <i>
      <x v="29"/>
    </i>
    <i>
      <x v="28"/>
    </i>
    <i>
      <x v="46"/>
    </i>
    <i>
      <x v="37"/>
    </i>
    <i>
      <x v="8"/>
    </i>
    <i>
      <x v="1"/>
    </i>
    <i>
      <x v="27"/>
    </i>
    <i>
      <x v="38"/>
    </i>
    <i>
      <x v="11"/>
    </i>
    <i>
      <x v="26"/>
    </i>
    <i>
      <x v="21"/>
    </i>
    <i>
      <x v="25"/>
    </i>
    <i>
      <x v="44"/>
    </i>
    <i>
      <x v="2"/>
    </i>
    <i>
      <x v="9"/>
    </i>
    <i>
      <x v="19"/>
    </i>
    <i>
      <x v="7"/>
    </i>
    <i>
      <x v="12"/>
    </i>
    <i>
      <x v="23"/>
    </i>
    <i>
      <x v="34"/>
    </i>
    <i>
      <x v="36"/>
    </i>
    <i>
      <x v="22"/>
    </i>
    <i>
      <x v="10"/>
    </i>
    <i>
      <x v="39"/>
    </i>
    <i>
      <x v="6"/>
    </i>
    <i>
      <x v="5"/>
    </i>
    <i>
      <x v="4"/>
    </i>
    <i>
      <x v="41"/>
    </i>
    <i>
      <x v="30"/>
    </i>
    <i>
      <x v="16"/>
    </i>
    <i>
      <x v="3"/>
    </i>
    <i t="grand">
      <x/>
    </i>
  </rowItems>
  <colItems count="1">
    <i/>
  </colItems>
  <pageFields count="2">
    <pageField fld="0" hier="-1"/>
    <pageField fld="1" hier="-1"/>
  </pageFields>
  <dataFields count="1">
    <dataField name="Sum of Cost per t/CO2 in 2025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5EA8E-B4EC-6540-BBA6-36252B6213F6}" name="PivotTable5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A24:AE48" firstHeaderRow="0" firstDataRow="1" firstDataCol="1" rowPageCount="1" colPageCount="1"/>
  <pivotFields count="12">
    <pivotField axis="axisRow"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showAll="0"/>
    <pivotField axis="axisRow" showAll="0">
      <items count="8">
        <item x="2"/>
        <item m="1" x="6"/>
        <item x="3"/>
        <item x="1"/>
        <item m="1" x="5"/>
        <item m="1" x="4"/>
        <item x="0"/>
        <item t="default"/>
      </items>
    </pivotField>
    <pivotField axis="axisRow" showAll="0">
      <items count="7">
        <item x="0"/>
        <item x="1"/>
        <item x="3"/>
        <item x="2"/>
        <item m="1" x="5"/>
        <item x="4"/>
        <item t="default"/>
      </items>
    </pivotField>
    <pivotField showAll="0"/>
    <pivotField axis="axisRow" showAll="0">
      <items count="5">
        <item x="1"/>
        <item x="2"/>
        <item m="1" x="3"/>
        <item x="0"/>
        <item t="default"/>
      </items>
    </pivotField>
    <pivotField showAll="0"/>
    <pivotField dataField="1" numFmtId="2" showAll="0"/>
    <pivotField dataField="1" numFmtId="2" showAll="0"/>
    <pivotField dataField="1" numFmtId="2" showAll="0"/>
    <pivotField dataField="1" numFmtId="2" showAll="0"/>
  </pivotFields>
  <rowFields count="4">
    <field x="0"/>
    <field x="6"/>
    <field x="3"/>
    <field x="4"/>
  </rowFields>
  <rowItems count="24">
    <i>
      <x/>
    </i>
    <i r="1">
      <x/>
    </i>
    <i r="2">
      <x v="2"/>
    </i>
    <i r="3">
      <x v="3"/>
    </i>
    <i r="3">
      <x v="5"/>
    </i>
    <i r="1">
      <x v="1"/>
    </i>
    <i r="2">
      <x v="2"/>
    </i>
    <i r="3">
      <x v="2"/>
    </i>
    <i r="3">
      <x v="3"/>
    </i>
    <i r="3">
      <x v="5"/>
    </i>
    <i r="2">
      <x v="3"/>
    </i>
    <i r="3">
      <x v="3"/>
    </i>
    <i>
      <x v="1"/>
    </i>
    <i r="1">
      <x/>
    </i>
    <i r="2">
      <x v="3"/>
    </i>
    <i r="3">
      <x v="1"/>
    </i>
    <i r="3">
      <x v="3"/>
    </i>
    <i r="1">
      <x v="1"/>
    </i>
    <i r="2">
      <x/>
    </i>
    <i r="3">
      <x v="3"/>
    </i>
    <i r="2">
      <x v="3"/>
    </i>
    <i r="3">
      <x v="2"/>
    </i>
    <i r="3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Average of Cost per t/CO2 in 2025" fld="8" subtotal="average" baseField="0" baseItem="0" numFmtId="2"/>
    <dataField name="Average of Conditioning Cost" fld="9" subtotal="average" baseField="0" baseItem="0" numFmtId="2"/>
    <dataField name="Average of Storage Cost" fld="10" subtotal="average" baseField="0" baseItem="0" numFmtId="2"/>
    <dataField name="Average of Transport Cost" fld="11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B44F1-B8AB-7E4F-8449-761D2AC7B8D2}" name="PivotTable1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24:Y33" firstHeaderRow="1" firstDataRow="1" firstDataCol="1" rowPageCount="1" colPageCount="1"/>
  <pivotFields count="12"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axis="axisRow" showAll="0">
      <items count="8">
        <item x="2"/>
        <item m="1" x="6"/>
        <item x="3"/>
        <item x="1"/>
        <item m="1" x="5"/>
        <item m="1" x="4"/>
        <item x="0"/>
        <item t="default"/>
      </items>
    </pivotField>
    <pivotField showAll="0"/>
    <pivotField showAll="0"/>
    <pivotField axis="axisRow" showAll="0">
      <items count="5">
        <item x="1"/>
        <item x="2"/>
        <item m="1" x="3"/>
        <item x="0"/>
        <item t="default"/>
      </items>
    </pivotField>
    <pivotField showAll="0"/>
    <pivotField numFmtId="2" showAll="0"/>
    <pivotField numFmtId="2" showAll="0"/>
    <pivotField numFmtId="2" showAll="0"/>
    <pivotField dataField="1" numFmtId="2" showAll="0"/>
  </pivotFields>
  <rowFields count="2">
    <field x="3"/>
    <field x="6"/>
  </rowFields>
  <rowItems count="9">
    <i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pageFields count="1">
    <pageField fld="1" hier="-1"/>
  </pageFields>
  <dataFields count="1">
    <dataField name="Average of Transport Cost" fld="11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40669-3321-364D-8578-270A44C9654F}" name="PivotTable4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U25:V72" firstHeaderRow="1" firstDataRow="1" firstDataCol="1" rowPageCount="2" colPageCount="1"/>
  <pivotFields count="5">
    <pivotField axis="axisPage" multipleItemSelectionAllowed="1" showAll="0">
      <items count="3">
        <item h="1"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sortType="descending">
      <items count="48">
        <item x="0"/>
        <item x="25"/>
        <item x="36"/>
        <item x="28"/>
        <item x="5"/>
        <item x="7"/>
        <item x="6"/>
        <item x="38"/>
        <item x="26"/>
        <item x="35"/>
        <item x="9"/>
        <item x="30"/>
        <item x="39"/>
        <item x="14"/>
        <item x="15"/>
        <item x="40"/>
        <item x="1"/>
        <item x="41"/>
        <item x="42"/>
        <item x="37"/>
        <item x="17"/>
        <item x="33"/>
        <item x="4"/>
        <item x="10"/>
        <item x="8"/>
        <item x="34"/>
        <item x="31"/>
        <item x="29"/>
        <item x="23"/>
        <item x="22"/>
        <item x="13"/>
        <item x="19"/>
        <item x="18"/>
        <item x="43"/>
        <item x="2"/>
        <item x="45"/>
        <item x="21"/>
        <item x="27"/>
        <item x="24"/>
        <item x="3"/>
        <item x="16"/>
        <item x="12"/>
        <item x="11"/>
        <item x="44"/>
        <item x="32"/>
        <item x="20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</pivotFields>
  <rowFields count="1">
    <field x="2"/>
  </rowFields>
  <rowItems count="47">
    <i>
      <x v="16"/>
    </i>
    <i>
      <x v="34"/>
    </i>
    <i>
      <x v="39"/>
    </i>
    <i>
      <x v="22"/>
    </i>
    <i>
      <x v="4"/>
    </i>
    <i>
      <x v="6"/>
    </i>
    <i>
      <x v="5"/>
    </i>
    <i>
      <x v="24"/>
    </i>
    <i>
      <x v="10"/>
    </i>
    <i>
      <x v="23"/>
    </i>
    <i>
      <x v="41"/>
    </i>
    <i>
      <x v="42"/>
    </i>
    <i>
      <x v="30"/>
    </i>
    <i>
      <x v="13"/>
    </i>
    <i>
      <x v="14"/>
    </i>
    <i>
      <x v="40"/>
    </i>
    <i>
      <x v="20"/>
    </i>
    <i>
      <x v="32"/>
    </i>
    <i>
      <x v="31"/>
    </i>
    <i>
      <x v="45"/>
    </i>
    <i>
      <x v="36"/>
    </i>
    <i>
      <x v="29"/>
    </i>
    <i>
      <x v="28"/>
    </i>
    <i>
      <x v="38"/>
    </i>
    <i>
      <x v="8"/>
    </i>
    <i>
      <x v="1"/>
    </i>
    <i>
      <x v="37"/>
    </i>
    <i>
      <x v="3"/>
    </i>
    <i>
      <x v="27"/>
    </i>
    <i>
      <x v="11"/>
    </i>
    <i>
      <x v="26"/>
    </i>
    <i>
      <x v="44"/>
    </i>
    <i>
      <x v="21"/>
    </i>
    <i>
      <x v="25"/>
    </i>
    <i>
      <x v="9"/>
    </i>
    <i>
      <x v="2"/>
    </i>
    <i>
      <x v="19"/>
    </i>
    <i>
      <x v="7"/>
    </i>
    <i>
      <x v="12"/>
    </i>
    <i>
      <x v="15"/>
    </i>
    <i>
      <x v="17"/>
    </i>
    <i>
      <x v="18"/>
    </i>
    <i>
      <x v="33"/>
    </i>
    <i>
      <x v="43"/>
    </i>
    <i>
      <x v="35"/>
    </i>
    <i>
      <x v="46"/>
    </i>
    <i t="grand">
      <x/>
    </i>
  </rowItems>
  <colItems count="1">
    <i/>
  </colItems>
  <pageFields count="2">
    <pageField fld="0" hier="-1"/>
    <pageField fld="1" hier="-1"/>
  </pageFields>
  <dataFields count="1">
    <dataField name="Sum of Cost per t/CO2 in 2025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354A7-D34A-1A48-AFF1-B304F02090D9}" name="PivotTable10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8:Q38" firstHeaderRow="0" firstDataRow="1" firstDataCol="1" rowPageCount="1" colPageCount="1"/>
  <pivotFields count="12">
    <pivotField axis="axisRow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axis="axisRow" showAll="0">
      <items count="8">
        <item x="2"/>
        <item m="1" x="6"/>
        <item x="3"/>
        <item x="1"/>
        <item m="1" x="5"/>
        <item m="1" x="4"/>
        <item x="0"/>
        <item t="default"/>
      </items>
    </pivotField>
    <pivotField axis="axisRow" showAll="0">
      <items count="7">
        <item x="0"/>
        <item x="1"/>
        <item x="3"/>
        <item x="2"/>
        <item m="1" x="5"/>
        <item x="4"/>
        <item t="default"/>
      </items>
    </pivotField>
    <pivotField showAll="0"/>
    <pivotField axis="axisRow" showAll="0">
      <items count="5">
        <item x="1"/>
        <item x="2"/>
        <item m="1" x="3"/>
        <item x="0"/>
        <item t="default"/>
      </items>
    </pivotField>
    <pivotField showAll="0"/>
    <pivotField dataField="1" numFmtId="2" showAll="0"/>
    <pivotField dataField="1" numFmtId="2" showAll="0"/>
    <pivotField dataField="1" numFmtId="2" showAll="0"/>
    <pivotField dataField="1" numFmtId="2" showAll="0"/>
  </pivotFields>
  <rowFields count="4">
    <field x="0"/>
    <field x="6"/>
    <field x="3"/>
    <field x="4"/>
  </rowFields>
  <rowItems count="30">
    <i>
      <x/>
    </i>
    <i r="1">
      <x/>
    </i>
    <i r="2">
      <x v="2"/>
    </i>
    <i r="3">
      <x v="3"/>
    </i>
    <i r="3">
      <x v="5"/>
    </i>
    <i r="1">
      <x v="1"/>
    </i>
    <i r="2">
      <x v="2"/>
    </i>
    <i r="3">
      <x v="2"/>
    </i>
    <i r="3">
      <x v="3"/>
    </i>
    <i r="3">
      <x v="5"/>
    </i>
    <i r="2">
      <x v="3"/>
    </i>
    <i r="3">
      <x v="3"/>
    </i>
    <i r="1">
      <x v="3"/>
    </i>
    <i r="2">
      <x v="6"/>
    </i>
    <i r="3">
      <x/>
    </i>
    <i>
      <x v="1"/>
    </i>
    <i r="1">
      <x/>
    </i>
    <i r="2">
      <x v="3"/>
    </i>
    <i r="3">
      <x v="1"/>
    </i>
    <i r="3">
      <x v="3"/>
    </i>
    <i r="1">
      <x v="1"/>
    </i>
    <i r="2">
      <x/>
    </i>
    <i r="3">
      <x v="3"/>
    </i>
    <i r="2">
      <x v="3"/>
    </i>
    <i r="3">
      <x v="2"/>
    </i>
    <i r="3">
      <x v="3"/>
    </i>
    <i r="1">
      <x v="3"/>
    </i>
    <i r="2">
      <x v="6"/>
    </i>
    <i r="3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Average of Cost per t/CO2 in 2025" fld="8" subtotal="average" baseField="0" baseItem="0" numFmtId="2"/>
    <dataField name="Average of Conditioning Cost" fld="9" subtotal="average" baseField="0" baseItem="0" numFmtId="2"/>
    <dataField name="Average of Storage Cost" fld="10" subtotal="average" baseField="0" baseItem="0" numFmtId="2"/>
    <dataField name="Average of Transport Cost" fld="11" subtotal="average" baseField="0" baseItem="0" numFmtId="2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2">
          <reference field="0" count="1" selected="0">
            <x v="0"/>
          </reference>
          <reference field="6" count="2">
            <x v="0"/>
            <x v="1"/>
          </reference>
        </references>
      </pivotArea>
    </format>
    <format dxfId="11">
      <pivotArea dataOnly="0" labelOnly="1" fieldPosition="0">
        <references count="2">
          <reference field="0" count="1" selected="0">
            <x v="1"/>
          </reference>
          <reference field="6" count="2">
            <x v="0"/>
            <x v="1"/>
          </reference>
        </references>
      </pivotArea>
    </format>
    <format dxfId="10">
      <pivotArea dataOnly="0" labelOnly="1" fieldPosition="0">
        <references count="3">
          <reference field="0" count="1" selected="0">
            <x v="0"/>
          </reference>
          <reference field="3" count="1">
            <x v="2"/>
          </reference>
          <reference field="6" count="1" selected="0">
            <x v="0"/>
          </reference>
        </references>
      </pivotArea>
    </format>
    <format dxfId="9">
      <pivotArea dataOnly="0" labelOnly="1" fieldPosition="0">
        <references count="3">
          <reference field="0" count="1" selected="0">
            <x v="0"/>
          </reference>
          <reference field="3" count="2">
            <x v="2"/>
            <x v="3"/>
          </reference>
          <reference field="6" count="1" selected="0">
            <x v="1"/>
          </reference>
        </references>
      </pivotArea>
    </format>
    <format dxfId="8">
      <pivotArea dataOnly="0" labelOnly="1" fieldPosition="0">
        <references count="3">
          <reference field="0" count="1" selected="0">
            <x v="1"/>
          </reference>
          <reference field="3" count="1">
            <x v="3"/>
          </reference>
          <reference field="6" count="1" selected="0">
            <x v="0"/>
          </reference>
        </references>
      </pivotArea>
    </format>
    <format dxfId="7">
      <pivotArea dataOnly="0" labelOnly="1" fieldPosition="0">
        <references count="3">
          <reference field="0" count="1" selected="0">
            <x v="1"/>
          </reference>
          <reference field="3" count="2">
            <x v="0"/>
            <x v="3"/>
          </reference>
          <reference field="6" count="1" selected="0">
            <x v="1"/>
          </reference>
        </references>
      </pivotArea>
    </format>
    <format dxfId="6">
      <pivotArea dataOnly="0" labelOnly="1" fieldPosition="0">
        <references count="4">
          <reference field="0" count="1" selected="0">
            <x v="0"/>
          </reference>
          <reference field="3" count="1" selected="0">
            <x v="2"/>
          </reference>
          <reference field="4" count="2">
            <x v="3"/>
            <x v="5"/>
          </reference>
          <reference field="6" count="1" selected="0">
            <x v="0"/>
          </reference>
        </references>
      </pivotArea>
    </format>
    <format dxfId="5">
      <pivotArea dataOnly="0" labelOnly="1" fieldPosition="0">
        <references count="4">
          <reference field="0" count="1" selected="0">
            <x v="0"/>
          </reference>
          <reference field="3" count="1" selected="0">
            <x v="2"/>
          </reference>
          <reference field="4" count="3">
            <x v="2"/>
            <x v="3"/>
            <x v="5"/>
          </reference>
          <reference field="6" count="1" selected="0">
            <x v="1"/>
          </reference>
        </references>
      </pivotArea>
    </format>
    <format dxfId="4">
      <pivotArea dataOnly="0" labelOnly="1" fieldPosition="0">
        <references count="4">
          <reference field="0" count="1" selected="0">
            <x v="0"/>
          </reference>
          <reference field="3" count="1" selected="0">
            <x v="3"/>
          </reference>
          <reference field="4" count="1">
            <x v="3"/>
          </reference>
          <reference field="6" count="1" selected="0">
            <x v="1"/>
          </reference>
        </references>
      </pivotArea>
    </format>
    <format dxfId="3">
      <pivotArea dataOnly="0" labelOnly="1" fieldPosition="0">
        <references count="4">
          <reference field="0" count="1" selected="0">
            <x v="1"/>
          </reference>
          <reference field="3" count="1" selected="0">
            <x v="3"/>
          </reference>
          <reference field="4" count="2">
            <x v="1"/>
            <x v="3"/>
          </reference>
          <reference field="6" count="1" selected="0">
            <x v="0"/>
          </reference>
        </references>
      </pivotArea>
    </format>
    <format dxfId="2">
      <pivotArea dataOnly="0" labelOnly="1" fieldPosition="0">
        <references count="4">
          <reference field="0" count="1" selected="0">
            <x v="1"/>
          </reference>
          <reference field="3" count="1" selected="0">
            <x v="0"/>
          </reference>
          <reference field="4" count="1">
            <x v="3"/>
          </reference>
          <reference field="6" count="1" selected="0">
            <x v="1"/>
          </reference>
        </references>
      </pivotArea>
    </format>
    <format dxfId="1">
      <pivotArea dataOnly="0" labelOnly="1" fieldPosition="0">
        <references count="4">
          <reference field="0" count="1" selected="0">
            <x v="1"/>
          </reference>
          <reference field="3" count="1" selected="0">
            <x v="3"/>
          </reference>
          <reference field="4" count="2">
            <x v="2"/>
            <x v="3"/>
          </reference>
          <reference field="6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449DF-72E8-9545-9C29-E17EC2EC35E9}" name="PivotTable2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7:J16" firstHeaderRow="1" firstDataRow="1" firstDataCol="1" rowPageCount="1" colPageCount="1"/>
  <pivotFields count="12"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axis="axisRow" showAll="0">
      <items count="8">
        <item x="2"/>
        <item m="1" x="6"/>
        <item x="3"/>
        <item x="1"/>
        <item m="1" x="5"/>
        <item m="1" x="4"/>
        <item x="0"/>
        <item t="default"/>
      </items>
    </pivotField>
    <pivotField showAll="0"/>
    <pivotField showAll="0"/>
    <pivotField axis="axisRow" showAll="0">
      <items count="5">
        <item x="1"/>
        <item x="2"/>
        <item m="1" x="3"/>
        <item x="0"/>
        <item t="default"/>
      </items>
    </pivotField>
    <pivotField showAll="0"/>
    <pivotField numFmtId="2" showAll="0"/>
    <pivotField numFmtId="2" showAll="0"/>
    <pivotField numFmtId="2" showAll="0"/>
    <pivotField dataField="1" numFmtId="2" showAll="0"/>
  </pivotFields>
  <rowFields count="2">
    <field x="3"/>
    <field x="6"/>
  </rowFields>
  <rowItems count="9">
    <i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pageFields count="1">
    <pageField fld="1" hier="-1"/>
  </pageFields>
  <dataFields count="1">
    <dataField name="Average of Transport Cost" fld="11" subtotal="average" baseField="0" baseItem="0" numFmtId="2"/>
  </dataFields>
  <formats count="9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3" type="button" dataOnly="0" labelOnly="1" outline="0" axis="axisRow" fieldPosition="0"/>
    </format>
    <format dxfId="23">
      <pivotArea dataOnly="0" labelOnly="1" fieldPosition="0">
        <references count="1">
          <reference field="3" count="3">
            <x v="0"/>
            <x v="2"/>
            <x v="3"/>
          </reference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2">
          <reference field="3" count="1" selected="0">
            <x v="0"/>
          </reference>
          <reference field="6" count="1">
            <x v="1"/>
          </reference>
        </references>
      </pivotArea>
    </format>
    <format dxfId="20">
      <pivotArea dataOnly="0" labelOnly="1" fieldPosition="0">
        <references count="2">
          <reference field="3" count="1" selected="0">
            <x v="2"/>
          </reference>
          <reference field="6" count="2">
            <x v="0"/>
            <x v="1"/>
          </reference>
        </references>
      </pivotArea>
    </format>
    <format dxfId="19">
      <pivotArea dataOnly="0" labelOnly="1" fieldPosition="0">
        <references count="2">
          <reference field="3" count="1" selected="0">
            <x v="3"/>
          </reference>
          <reference field="6" count="2">
            <x v="0"/>
            <x v="1"/>
          </reference>
        </references>
      </pivotArea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1226C99-B53A-0641-A860-68711C0EA67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d98748e-c042-48db-8e32-fcd5966cf17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ea.europa.eu/en/analysis/indicators/greenhouse-gas-emission-intensity-of-1" TargetMode="External"/><Relationship Id="rId3" Type="http://schemas.openxmlformats.org/officeDocument/2006/relationships/hyperlink" Target="https://ec.europa.eu/eurostat/databrowser/view/nrg_pc_203__custom_20285923/default/table" TargetMode="External"/><Relationship Id="rId7" Type="http://schemas.openxmlformats.org/officeDocument/2006/relationships/hyperlink" Target="https://norlights.com/wp-content/uploads/2023/11/Report-Carbon-footprint-of-the-Northern-Lights-JV-co2-transport-and-storage-value-chain.pdf" TargetMode="External"/><Relationship Id="rId2" Type="http://schemas.openxmlformats.org/officeDocument/2006/relationships/hyperlink" Target="https://ec.europa.eu/eurostat/statistics-explained/index.php?title=Electricity_price_statistics" TargetMode="External"/><Relationship Id="rId1" Type="http://schemas.openxmlformats.org/officeDocument/2006/relationships/hyperlink" Target="https://ec.europa.eu/eurostat/databrowser/view/nrg_pc_203__custom_20285923/default/table" TargetMode="External"/><Relationship Id="rId6" Type="http://schemas.openxmlformats.org/officeDocument/2006/relationships/hyperlink" Target="https://www.eea.europa.eu/en/analysis/indicators/greenhouse-gas-emission-intensity-of-1" TargetMode="External"/><Relationship Id="rId11" Type="http://schemas.openxmlformats.org/officeDocument/2006/relationships/hyperlink" Target="https://www.ecb.europa.eu/stats/policy_and_exchange_rates/euro_reference_exchange_rates/html/eurofxref-graph-dkk.en.html" TargetMode="External"/><Relationship Id="rId5" Type="http://schemas.openxmlformats.org/officeDocument/2006/relationships/hyperlink" Target="https://en.energinet.dk/media/nkmdwnwb/co2-emission-factor.pdf" TargetMode="External"/><Relationship Id="rId10" Type="http://schemas.openxmlformats.org/officeDocument/2006/relationships/hyperlink" Target="https://kpmg.com/dk/en/services/tax/corporate-tax/corporate-tax-rates-table.html" TargetMode="External"/><Relationship Id="rId4" Type="http://schemas.openxmlformats.org/officeDocument/2006/relationships/hyperlink" Target="https://ec.europa.eu/eurostat/statistics-explained/index.php?title=Electricity_price_statistics" TargetMode="External"/><Relationship Id="rId9" Type="http://schemas.openxmlformats.org/officeDocument/2006/relationships/hyperlink" Target="https://kpmg.com/dk/en/services/tax/corporate-tax/corporate-tax-rates-table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topics/engineering/boiler-efficiency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real-economy-progress.com/eu-ets-carbon-price-to-hit-126-euros-by-2030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D4F6-67C0-7144-8962-1E90928F7AF8}">
  <dimension ref="B3:I49"/>
  <sheetViews>
    <sheetView topLeftCell="A27" workbookViewId="0">
      <selection activeCell="D36" sqref="D36"/>
    </sheetView>
  </sheetViews>
  <sheetFormatPr baseColWidth="10" defaultRowHeight="16" x14ac:dyDescent="0.2"/>
  <cols>
    <col min="1" max="1" width="10.83203125" style="2"/>
    <col min="2" max="2" width="26" style="9" customWidth="1"/>
    <col min="3" max="3" width="11.83203125" style="2" bestFit="1" customWidth="1"/>
    <col min="4" max="4" width="15.5" style="2" bestFit="1" customWidth="1"/>
    <col min="5" max="5" width="33.6640625" style="9" customWidth="1"/>
    <col min="6" max="8" width="10.83203125" style="2"/>
    <col min="9" max="9" width="14" style="2" bestFit="1" customWidth="1"/>
    <col min="10" max="16384" width="10.83203125" style="2"/>
  </cols>
  <sheetData>
    <row r="3" spans="2:9" ht="23" x14ac:dyDescent="0.25">
      <c r="B3" s="233" t="s">
        <v>0</v>
      </c>
      <c r="C3" s="233"/>
      <c r="D3" s="233"/>
      <c r="E3" s="233"/>
    </row>
    <row r="4" spans="2:9" ht="18" thickBot="1" x14ac:dyDescent="0.25">
      <c r="B4" s="10" t="s">
        <v>1</v>
      </c>
      <c r="C4" s="1" t="s">
        <v>2</v>
      </c>
      <c r="D4" s="1" t="s">
        <v>3</v>
      </c>
      <c r="E4" s="10" t="s">
        <v>4</v>
      </c>
    </row>
    <row r="5" spans="2:9" ht="17" x14ac:dyDescent="0.2">
      <c r="B5" s="9" t="s">
        <v>5</v>
      </c>
      <c r="C5" s="2" t="s">
        <v>15</v>
      </c>
      <c r="D5" s="2">
        <v>2896</v>
      </c>
      <c r="E5" s="9" t="s">
        <v>8</v>
      </c>
    </row>
    <row r="6" spans="2:9" ht="17" x14ac:dyDescent="0.2">
      <c r="B6" s="9" t="s">
        <v>11</v>
      </c>
      <c r="C6" s="2" t="s">
        <v>12</v>
      </c>
      <c r="D6" s="3">
        <v>0.91300000000000003</v>
      </c>
      <c r="E6" s="9" t="s">
        <v>8</v>
      </c>
    </row>
    <row r="7" spans="2:9" ht="17" x14ac:dyDescent="0.2">
      <c r="B7" s="9" t="s">
        <v>6</v>
      </c>
      <c r="C7" s="2" t="s">
        <v>7</v>
      </c>
      <c r="D7" s="2">
        <f>365*D6</f>
        <v>333.245</v>
      </c>
      <c r="E7" s="9" t="s">
        <v>13</v>
      </c>
    </row>
    <row r="8" spans="2:9" ht="17" x14ac:dyDescent="0.2">
      <c r="B8" s="9" t="s">
        <v>9</v>
      </c>
      <c r="C8" s="2" t="s">
        <v>10</v>
      </c>
      <c r="D8" s="4">
        <f>D7*D5</f>
        <v>965077.52</v>
      </c>
      <c r="E8" s="9" t="s">
        <v>13</v>
      </c>
    </row>
    <row r="9" spans="2:9" ht="17" x14ac:dyDescent="0.2">
      <c r="B9" s="9" t="s">
        <v>14</v>
      </c>
      <c r="C9" s="2" t="s">
        <v>16</v>
      </c>
      <c r="D9" s="2">
        <v>0.85</v>
      </c>
      <c r="E9" s="9" t="s">
        <v>8</v>
      </c>
    </row>
    <row r="10" spans="2:9" ht="17" x14ac:dyDescent="0.2">
      <c r="B10" s="9" t="s">
        <v>17</v>
      </c>
      <c r="C10" s="2" t="s">
        <v>18</v>
      </c>
      <c r="D10" s="4">
        <f>D9*D8</f>
        <v>820315.89199999999</v>
      </c>
      <c r="E10" s="9" t="s">
        <v>13</v>
      </c>
    </row>
    <row r="12" spans="2:9" ht="23" x14ac:dyDescent="0.25">
      <c r="B12" s="233" t="s">
        <v>129</v>
      </c>
      <c r="C12" s="233"/>
      <c r="D12" s="233"/>
      <c r="E12" s="233"/>
    </row>
    <row r="13" spans="2:9" ht="18" thickBot="1" x14ac:dyDescent="0.25">
      <c r="B13" s="10" t="s">
        <v>1</v>
      </c>
      <c r="C13" s="1" t="s">
        <v>2</v>
      </c>
      <c r="D13" s="1" t="s">
        <v>3</v>
      </c>
      <c r="E13" s="10" t="s">
        <v>4</v>
      </c>
    </row>
    <row r="14" spans="2:9" ht="51" x14ac:dyDescent="0.2">
      <c r="B14" s="9" t="s">
        <v>748</v>
      </c>
      <c r="C14" s="2" t="s">
        <v>39</v>
      </c>
      <c r="D14" s="2">
        <v>5.8000000000000003E-2</v>
      </c>
      <c r="E14" s="19" t="s">
        <v>41</v>
      </c>
      <c r="I14" s="4"/>
    </row>
    <row r="15" spans="2:9" ht="51" x14ac:dyDescent="0.2">
      <c r="B15" s="9" t="s">
        <v>130</v>
      </c>
      <c r="C15" s="2" t="s">
        <v>39</v>
      </c>
      <c r="D15" s="2">
        <v>0.05</v>
      </c>
      <c r="E15" s="19" t="s">
        <v>41</v>
      </c>
    </row>
    <row r="16" spans="2:9" ht="68" x14ac:dyDescent="0.2">
      <c r="B16" s="9" t="s">
        <v>388</v>
      </c>
      <c r="C16" s="2" t="s">
        <v>39</v>
      </c>
      <c r="D16" s="2">
        <v>0.126</v>
      </c>
      <c r="E16" s="19" t="s">
        <v>40</v>
      </c>
    </row>
    <row r="17" spans="2:6" ht="68" x14ac:dyDescent="0.2">
      <c r="B17" s="9" t="s">
        <v>131</v>
      </c>
      <c r="C17" s="2" t="s">
        <v>39</v>
      </c>
      <c r="D17" s="2">
        <v>0.19320000000000001</v>
      </c>
      <c r="E17" s="19" t="s">
        <v>40</v>
      </c>
    </row>
    <row r="18" spans="2:6" ht="51" x14ac:dyDescent="0.2">
      <c r="B18" s="2" t="s">
        <v>132</v>
      </c>
      <c r="C18" s="2" t="s">
        <v>55</v>
      </c>
      <c r="D18" s="2">
        <v>7.5999999999999998E-2</v>
      </c>
      <c r="E18" s="19" t="s">
        <v>57</v>
      </c>
    </row>
    <row r="19" spans="2:6" ht="51" x14ac:dyDescent="0.2">
      <c r="B19" s="9" t="s">
        <v>133</v>
      </c>
      <c r="C19" s="2" t="s">
        <v>55</v>
      </c>
      <c r="D19" s="2">
        <v>0.29799999999999999</v>
      </c>
      <c r="E19" s="19" t="s">
        <v>57</v>
      </c>
    </row>
    <row r="20" spans="2:6" ht="34" x14ac:dyDescent="0.2">
      <c r="B20" s="9" t="s">
        <v>134</v>
      </c>
      <c r="C20" s="2" t="s">
        <v>55</v>
      </c>
      <c r="D20" s="2">
        <v>0.2</v>
      </c>
      <c r="E20" s="19" t="s">
        <v>56</v>
      </c>
    </row>
    <row r="21" spans="2:6" x14ac:dyDescent="0.2">
      <c r="E21" s="19"/>
    </row>
    <row r="23" spans="2:6" ht="23" x14ac:dyDescent="0.25">
      <c r="B23" s="233" t="s">
        <v>135</v>
      </c>
      <c r="C23" s="233"/>
      <c r="D23" s="233"/>
      <c r="E23" s="233"/>
    </row>
    <row r="24" spans="2:6" ht="18" thickBot="1" x14ac:dyDescent="0.25">
      <c r="B24" s="10" t="s">
        <v>1</v>
      </c>
      <c r="C24" s="1" t="s">
        <v>2</v>
      </c>
      <c r="D24" s="1" t="s">
        <v>3</v>
      </c>
      <c r="E24" s="10" t="s">
        <v>4</v>
      </c>
    </row>
    <row r="25" spans="2:6" ht="17" x14ac:dyDescent="0.2">
      <c r="B25" s="9" t="s">
        <v>137</v>
      </c>
      <c r="C25" s="2" t="s">
        <v>47</v>
      </c>
      <c r="D25" s="11">
        <v>2.8</v>
      </c>
      <c r="E25" s="9" t="s">
        <v>51</v>
      </c>
    </row>
    <row r="26" spans="2:6" ht="17" x14ac:dyDescent="0.2">
      <c r="B26" s="9" t="s">
        <v>42</v>
      </c>
      <c r="C26" s="2" t="s">
        <v>12</v>
      </c>
      <c r="D26" s="13">
        <v>0.03</v>
      </c>
      <c r="E26" s="14" t="s">
        <v>138</v>
      </c>
    </row>
    <row r="27" spans="2:6" ht="34" x14ac:dyDescent="0.2">
      <c r="B27" s="9" t="s">
        <v>38</v>
      </c>
      <c r="C27" s="2" t="s">
        <v>44</v>
      </c>
      <c r="D27" s="2">
        <v>2.9</v>
      </c>
      <c r="E27" s="9" t="s">
        <v>53</v>
      </c>
    </row>
    <row r="29" spans="2:6" ht="23" x14ac:dyDescent="0.25">
      <c r="B29" s="233" t="s">
        <v>140</v>
      </c>
      <c r="C29" s="233"/>
      <c r="D29" s="233"/>
      <c r="E29" s="233"/>
    </row>
    <row r="30" spans="2:6" ht="18" thickBot="1" x14ac:dyDescent="0.25">
      <c r="B30" s="10" t="s">
        <v>1</v>
      </c>
      <c r="C30" s="1" t="s">
        <v>2</v>
      </c>
      <c r="D30" s="1" t="s">
        <v>3</v>
      </c>
      <c r="E30" s="10" t="s">
        <v>4</v>
      </c>
    </row>
    <row r="31" spans="2:6" ht="85" x14ac:dyDescent="0.2">
      <c r="B31" s="9" t="s">
        <v>139</v>
      </c>
      <c r="C31" s="2" t="s">
        <v>59</v>
      </c>
      <c r="D31" s="2">
        <v>2.5999999999999999E-2</v>
      </c>
      <c r="E31" s="19" t="s">
        <v>60</v>
      </c>
    </row>
    <row r="32" spans="2:6" x14ac:dyDescent="0.2">
      <c r="F32" s="6"/>
    </row>
    <row r="33" spans="2:5" ht="23" x14ac:dyDescent="0.25">
      <c r="B33" s="234" t="s">
        <v>61</v>
      </c>
      <c r="C33" s="234"/>
      <c r="D33" s="234"/>
      <c r="E33" s="234"/>
    </row>
    <row r="34" spans="2:5" ht="18" thickBot="1" x14ac:dyDescent="0.25">
      <c r="B34" s="15" t="s">
        <v>1</v>
      </c>
      <c r="C34" s="16" t="s">
        <v>2</v>
      </c>
      <c r="D34" s="16" t="s">
        <v>3</v>
      </c>
      <c r="E34" s="15" t="s">
        <v>4</v>
      </c>
    </row>
    <row r="35" spans="2:5" ht="17" x14ac:dyDescent="0.2">
      <c r="B35" s="20" t="s">
        <v>62</v>
      </c>
      <c r="C35" s="20" t="s">
        <v>65</v>
      </c>
      <c r="D35" s="20">
        <v>25</v>
      </c>
      <c r="E35" s="21" t="s">
        <v>8</v>
      </c>
    </row>
    <row r="36" spans="2:5" ht="17" x14ac:dyDescent="0.2">
      <c r="B36" s="20" t="s">
        <v>63</v>
      </c>
      <c r="C36" s="20" t="s">
        <v>12</v>
      </c>
      <c r="D36" s="145">
        <f>'Inflation and WACC'!C64</f>
        <v>9.6200000000000063E-2</v>
      </c>
      <c r="E36" s="21" t="s">
        <v>8</v>
      </c>
    </row>
    <row r="37" spans="2:5" ht="17" x14ac:dyDescent="0.2">
      <c r="B37" s="20" t="s">
        <v>684</v>
      </c>
      <c r="C37" s="20" t="s">
        <v>12</v>
      </c>
      <c r="D37" s="145">
        <v>1.4999999999999999E-2</v>
      </c>
      <c r="E37" s="21" t="s">
        <v>685</v>
      </c>
    </row>
    <row r="38" spans="2:5" ht="17" x14ac:dyDescent="0.2">
      <c r="B38" s="20" t="s">
        <v>64</v>
      </c>
      <c r="C38" s="20" t="s">
        <v>65</v>
      </c>
      <c r="D38" s="20">
        <v>3</v>
      </c>
      <c r="E38" s="21" t="s">
        <v>8</v>
      </c>
    </row>
    <row r="39" spans="2:5" ht="16" customHeight="1" x14ac:dyDescent="0.2">
      <c r="B39" s="20" t="s">
        <v>68</v>
      </c>
      <c r="C39" s="20" t="s">
        <v>12</v>
      </c>
      <c r="D39" s="20" t="s">
        <v>69</v>
      </c>
      <c r="E39" s="21" t="s">
        <v>141</v>
      </c>
    </row>
    <row r="40" spans="2:5" ht="17" x14ac:dyDescent="0.2">
      <c r="B40" s="9" t="s">
        <v>153</v>
      </c>
      <c r="D40" s="7">
        <f>(D36*(1+D36)^D35)/(((1+D36)^D35)-1)</f>
        <v>0.10696452369921967</v>
      </c>
      <c r="E40" s="9" t="s">
        <v>13</v>
      </c>
    </row>
    <row r="41" spans="2:5" ht="68" x14ac:dyDescent="0.2">
      <c r="B41" s="9" t="s">
        <v>368</v>
      </c>
      <c r="D41" s="20">
        <v>7.4634</v>
      </c>
      <c r="E41" s="200" t="s">
        <v>367</v>
      </c>
    </row>
    <row r="42" spans="2:5" ht="34" x14ac:dyDescent="0.2">
      <c r="B42" s="9" t="s">
        <v>297</v>
      </c>
      <c r="C42" s="2" t="s">
        <v>12</v>
      </c>
      <c r="D42" s="3">
        <v>0.30130000000000001</v>
      </c>
      <c r="E42" s="19" t="s">
        <v>298</v>
      </c>
    </row>
    <row r="43" spans="2:5" ht="34" x14ac:dyDescent="0.2">
      <c r="B43" s="9" t="s">
        <v>299</v>
      </c>
      <c r="C43" s="2" t="s">
        <v>12</v>
      </c>
      <c r="D43" s="3">
        <v>0.22</v>
      </c>
      <c r="E43" s="19" t="s">
        <v>298</v>
      </c>
    </row>
    <row r="44" spans="2:5" ht="68" x14ac:dyDescent="0.2">
      <c r="B44" s="9" t="s">
        <v>358</v>
      </c>
      <c r="C44" s="2" t="s">
        <v>365</v>
      </c>
      <c r="D44" s="4">
        <f>114.9/D41</f>
        <v>15.395128225741621</v>
      </c>
      <c r="E44" s="9" t="s">
        <v>366</v>
      </c>
    </row>
    <row r="45" spans="2:5" ht="17" x14ac:dyDescent="0.2">
      <c r="B45" s="9" t="s">
        <v>359</v>
      </c>
      <c r="C45" s="2" t="s">
        <v>365</v>
      </c>
      <c r="D45" s="4">
        <f>120.59/D41</f>
        <v>16.157515341533351</v>
      </c>
      <c r="E45" s="9" t="s">
        <v>364</v>
      </c>
    </row>
    <row r="46" spans="2:5" ht="17" x14ac:dyDescent="0.2">
      <c r="B46" s="9" t="s">
        <v>360</v>
      </c>
      <c r="C46" s="2" t="s">
        <v>365</v>
      </c>
      <c r="D46" s="4">
        <f>126.4/D41</f>
        <v>16.935980920224026</v>
      </c>
      <c r="E46" s="9" t="s">
        <v>364</v>
      </c>
    </row>
    <row r="47" spans="2:5" ht="17" x14ac:dyDescent="0.2">
      <c r="B47" s="9" t="s">
        <v>361</v>
      </c>
      <c r="C47" s="2" t="s">
        <v>365</v>
      </c>
      <c r="D47" s="4">
        <f>132.09/D41</f>
        <v>17.698368036015758</v>
      </c>
      <c r="E47" s="9" t="s">
        <v>364</v>
      </c>
    </row>
    <row r="48" spans="2:5" ht="17" x14ac:dyDescent="0.2">
      <c r="B48" s="9" t="s">
        <v>362</v>
      </c>
      <c r="C48" s="2" t="s">
        <v>365</v>
      </c>
      <c r="D48" s="4">
        <f>137.9/D41</f>
        <v>18.476833614706436</v>
      </c>
      <c r="E48" s="9" t="s">
        <v>364</v>
      </c>
    </row>
    <row r="49" spans="2:5" ht="34" x14ac:dyDescent="0.2">
      <c r="B49" s="9" t="s">
        <v>363</v>
      </c>
      <c r="C49" s="2" t="s">
        <v>365</v>
      </c>
      <c r="D49" s="4">
        <f>143.59/D41</f>
        <v>19.239220730498165</v>
      </c>
      <c r="E49" s="9" t="s">
        <v>364</v>
      </c>
    </row>
  </sheetData>
  <mergeCells count="5">
    <mergeCell ref="B23:E23"/>
    <mergeCell ref="B29:E29"/>
    <mergeCell ref="B3:E3"/>
    <mergeCell ref="B12:E12"/>
    <mergeCell ref="B33:E33"/>
  </mergeCells>
  <phoneticPr fontId="9" type="noConversion"/>
  <hyperlinks>
    <hyperlink ref="E14" r:id="rId1" xr:uid="{ED577A65-1D27-5A40-B4C4-0724B3653D81}"/>
    <hyperlink ref="E16" r:id="rId2" location="Electricity_prices_for_non-household_consumers" xr:uid="{F715895F-ED4C-9842-89E4-91F9662BC732}"/>
    <hyperlink ref="E15" r:id="rId3" xr:uid="{D67F0A84-511A-6D49-A5C0-3CBBFFCDA387}"/>
    <hyperlink ref="E17" r:id="rId4" location="Electricity_prices_for_non-household_consumers" xr:uid="{5FD6DFEB-5433-ED43-93E1-E869E54A5F1A}"/>
    <hyperlink ref="E20" r:id="rId5" xr:uid="{92FACE3D-4D8D-3140-9601-1F319E8E578C}"/>
    <hyperlink ref="E18" r:id="rId6" xr:uid="{167C4A71-2FD9-9D46-9B38-69641DF88E64}"/>
    <hyperlink ref="E31" r:id="rId7" xr:uid="{B84E0814-D2F7-1C4E-BE3E-CEF579E1098C}"/>
    <hyperlink ref="E19" r:id="rId8" xr:uid="{56699293-BCAA-D043-B7B2-49E756F898EB}"/>
    <hyperlink ref="E42" r:id="rId9" xr:uid="{7A3FF58D-F945-5243-AC4A-508B709968AF}"/>
    <hyperlink ref="E43" r:id="rId10" xr:uid="{F3B4FF0F-3B2A-9D4D-A7C5-5A957D41617A}"/>
    <hyperlink ref="E41" r:id="rId11" xr:uid="{720EF491-7761-494C-ABDD-DF0DD1F8EFA2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B2CE-4BD9-824B-B687-330D5578701A}">
  <dimension ref="B3:AE135"/>
  <sheetViews>
    <sheetView topLeftCell="R1" zoomScale="75" workbookViewId="0">
      <selection activeCell="P17" sqref="P17"/>
    </sheetView>
  </sheetViews>
  <sheetFormatPr baseColWidth="10" defaultRowHeight="16" x14ac:dyDescent="0.2"/>
  <cols>
    <col min="1" max="1" width="10.83203125" style="2"/>
    <col min="2" max="2" width="27.6640625" style="2" bestFit="1" customWidth="1"/>
    <col min="3" max="3" width="10.83203125" style="2"/>
    <col min="4" max="4" width="37.83203125" style="2" bestFit="1" customWidth="1"/>
    <col min="5" max="8" width="37.83203125" style="2" customWidth="1"/>
    <col min="9" max="9" width="24.83203125" style="2" bestFit="1" customWidth="1"/>
    <col min="10" max="10" width="21.5" style="2" bestFit="1" customWidth="1"/>
    <col min="11" max="11" width="24.1640625" style="2" bestFit="1" customWidth="1"/>
    <col min="12" max="15" width="21.5" style="2" customWidth="1"/>
    <col min="16" max="16" width="10.5" style="2" customWidth="1"/>
    <col min="17" max="17" width="10.83203125" style="2"/>
    <col min="18" max="18" width="36.83203125" style="2" bestFit="1" customWidth="1"/>
    <col min="19" max="19" width="34.1640625" style="2" bestFit="1" customWidth="1"/>
    <col min="20" max="20" width="14" style="2" bestFit="1" customWidth="1"/>
    <col min="21" max="21" width="36.83203125" style="2" bestFit="1" customWidth="1"/>
    <col min="22" max="22" width="34.1640625" style="2" bestFit="1" customWidth="1"/>
    <col min="23" max="23" width="13.83203125" style="2" bestFit="1" customWidth="1"/>
    <col min="24" max="24" width="13.5" style="2" bestFit="1" customWidth="1"/>
    <col min="25" max="25" width="22.6640625" style="2" bestFit="1" customWidth="1"/>
    <col min="26" max="26" width="10.83203125" style="2"/>
    <col min="27" max="27" width="19.1640625" style="2" bestFit="1" customWidth="1"/>
    <col min="28" max="28" width="29.1640625" style="2" bestFit="1" customWidth="1"/>
    <col min="29" max="29" width="25.33203125" style="2" bestFit="1" customWidth="1"/>
    <col min="30" max="30" width="21" style="2" bestFit="1" customWidth="1"/>
    <col min="31" max="31" width="22.6640625" style="2" bestFit="1" customWidth="1"/>
    <col min="32" max="16384" width="10.83203125" style="2"/>
  </cols>
  <sheetData>
    <row r="3" spans="2:28" ht="23" x14ac:dyDescent="0.25">
      <c r="B3" s="2" t="s">
        <v>74</v>
      </c>
      <c r="K3" s="235" t="s">
        <v>330</v>
      </c>
      <c r="L3" s="235"/>
      <c r="M3" s="235"/>
    </row>
    <row r="4" spans="2:28" ht="17" thickBot="1" x14ac:dyDescent="0.25">
      <c r="B4" s="2" t="s">
        <v>75</v>
      </c>
      <c r="C4" s="2" t="s">
        <v>76</v>
      </c>
      <c r="D4" s="2" t="s">
        <v>77</v>
      </c>
      <c r="E4" s="2" t="s">
        <v>315</v>
      </c>
      <c r="F4" s="2" t="s">
        <v>316</v>
      </c>
      <c r="G4" s="2" t="s">
        <v>325</v>
      </c>
      <c r="H4" s="2" t="s">
        <v>326</v>
      </c>
      <c r="I4" s="2" t="s">
        <v>165</v>
      </c>
      <c r="J4" s="2" t="s">
        <v>166</v>
      </c>
      <c r="K4" s="2" t="s">
        <v>329</v>
      </c>
      <c r="L4" s="2" t="s">
        <v>327</v>
      </c>
      <c r="M4" s="2" t="s">
        <v>328</v>
      </c>
      <c r="R4" s="17" t="s">
        <v>142</v>
      </c>
      <c r="S4" s="17" t="s">
        <v>143</v>
      </c>
      <c r="T4" s="17" t="s">
        <v>149</v>
      </c>
      <c r="U4" s="17" t="s">
        <v>3</v>
      </c>
      <c r="W4" s="158" t="s">
        <v>157</v>
      </c>
      <c r="Y4" s="22"/>
    </row>
    <row r="5" spans="2:28" x14ac:dyDescent="0.2">
      <c r="B5" s="2" t="s">
        <v>169</v>
      </c>
      <c r="C5" s="2" t="s">
        <v>72</v>
      </c>
      <c r="D5" s="2" t="s">
        <v>78</v>
      </c>
      <c r="E5" s="2" t="s">
        <v>697</v>
      </c>
      <c r="F5" s="2" t="s">
        <v>78</v>
      </c>
      <c r="G5" s="2" t="str">
        <f>IF(OR(F5="Ruby",F5="Aalborg"),"Onshore","Offshore")</f>
        <v>Onshore</v>
      </c>
      <c r="H5" s="2" t="s">
        <v>72</v>
      </c>
      <c r="I5" s="23">
        <v>33.299999999999997</v>
      </c>
      <c r="J5" s="8">
        <f>I5*$W$5</f>
        <v>34.132499999999993</v>
      </c>
      <c r="K5" s="8">
        <v>15</v>
      </c>
      <c r="L5" s="8">
        <f>IF(G5="Onshore",15,30)</f>
        <v>15</v>
      </c>
      <c r="M5" s="8">
        <f>J5-SUM(K5:L5)</f>
        <v>4.1324999999999932</v>
      </c>
      <c r="N5" s="8"/>
      <c r="O5" s="8"/>
      <c r="R5" s="2" t="s">
        <v>72</v>
      </c>
      <c r="S5" s="2" t="s">
        <v>154</v>
      </c>
      <c r="T5" s="2" t="s">
        <v>127</v>
      </c>
      <c r="U5" s="23">
        <f>J5</f>
        <v>34.132499999999993</v>
      </c>
      <c r="W5" s="158">
        <v>1.0249999999999999</v>
      </c>
    </row>
    <row r="6" spans="2:28" x14ac:dyDescent="0.2">
      <c r="B6" s="2" t="s">
        <v>170</v>
      </c>
      <c r="C6" s="2" t="s">
        <v>72</v>
      </c>
      <c r="D6" s="2" t="s">
        <v>78</v>
      </c>
      <c r="E6" s="2" t="s">
        <v>697</v>
      </c>
      <c r="F6" s="2" t="s">
        <v>78</v>
      </c>
      <c r="G6" s="2" t="str">
        <f t="shared" ref="G6:G69" si="0">IF(OR(F6="Ruby",F6="Aalborg"),"Onshore","Offshore")</f>
        <v>Onshore</v>
      </c>
      <c r="H6" s="2" t="s">
        <v>72</v>
      </c>
      <c r="I6" s="23">
        <v>33.86</v>
      </c>
      <c r="J6" s="8">
        <f t="shared" ref="J6:J52" si="1">I6*$W$5</f>
        <v>34.706499999999998</v>
      </c>
      <c r="K6" s="8">
        <v>15</v>
      </c>
      <c r="L6" s="8">
        <f t="shared" ref="L6:L69" si="2">IF(G6="Onshore",15,30)</f>
        <v>15</v>
      </c>
      <c r="M6" s="8">
        <f t="shared" ref="M6:M69" si="3">J6-SUM(K6:L6)</f>
        <v>4.7064999999999984</v>
      </c>
      <c r="N6" s="8"/>
      <c r="O6" s="8"/>
      <c r="R6" s="2" t="s">
        <v>72</v>
      </c>
      <c r="S6" s="2" t="s">
        <v>156</v>
      </c>
      <c r="T6" s="2" t="s">
        <v>127</v>
      </c>
      <c r="U6" s="8">
        <f>J6</f>
        <v>34.706499999999998</v>
      </c>
    </row>
    <row r="7" spans="2:28" x14ac:dyDescent="0.2">
      <c r="B7" s="2" t="s">
        <v>170</v>
      </c>
      <c r="C7" s="2" t="s">
        <v>73</v>
      </c>
      <c r="D7" s="2" t="s">
        <v>81</v>
      </c>
      <c r="E7" s="2" t="s">
        <v>317</v>
      </c>
      <c r="F7" s="2" t="s">
        <v>324</v>
      </c>
      <c r="G7" s="2" t="str">
        <f t="shared" si="0"/>
        <v>Offshore</v>
      </c>
      <c r="H7" s="2" t="s">
        <v>323</v>
      </c>
      <c r="I7" s="23">
        <v>121.04</v>
      </c>
      <c r="J7" s="8">
        <f t="shared" si="1"/>
        <v>124.066</v>
      </c>
      <c r="K7" s="8">
        <f t="shared" ref="K7:K69" si="4">IF(E7="Pipeline",15,17.5)</f>
        <v>17.5</v>
      </c>
      <c r="L7" s="8">
        <f t="shared" si="2"/>
        <v>30</v>
      </c>
      <c r="M7" s="8">
        <f t="shared" si="3"/>
        <v>76.566000000000003</v>
      </c>
      <c r="N7" s="8"/>
      <c r="O7" s="8"/>
      <c r="R7" s="2" t="s">
        <v>72</v>
      </c>
      <c r="S7" s="2" t="s">
        <v>154</v>
      </c>
      <c r="T7" s="2" t="s">
        <v>144</v>
      </c>
      <c r="U7" s="8">
        <f>J5</f>
        <v>34.132499999999993</v>
      </c>
    </row>
    <row r="8" spans="2:28" x14ac:dyDescent="0.2">
      <c r="B8" s="2" t="s">
        <v>170</v>
      </c>
      <c r="C8" s="2" t="s">
        <v>73</v>
      </c>
      <c r="D8" s="2" t="s">
        <v>82</v>
      </c>
      <c r="E8" s="2" t="s">
        <v>317</v>
      </c>
      <c r="F8" s="2" t="s">
        <v>324</v>
      </c>
      <c r="G8" s="2" t="str">
        <f t="shared" si="0"/>
        <v>Offshore</v>
      </c>
      <c r="H8" s="2" t="s">
        <v>323</v>
      </c>
      <c r="I8" s="23">
        <v>120.59</v>
      </c>
      <c r="J8" s="8">
        <f t="shared" si="1"/>
        <v>123.60475</v>
      </c>
      <c r="K8" s="8">
        <f t="shared" si="4"/>
        <v>17.5</v>
      </c>
      <c r="L8" s="8">
        <f t="shared" si="2"/>
        <v>30</v>
      </c>
      <c r="M8" s="8">
        <f t="shared" si="3"/>
        <v>76.104749999999996</v>
      </c>
      <c r="N8" s="8"/>
      <c r="O8" s="8"/>
      <c r="R8" s="2" t="s">
        <v>72</v>
      </c>
      <c r="S8" s="2" t="s">
        <v>156</v>
      </c>
      <c r="T8" s="2" t="s">
        <v>144</v>
      </c>
      <c r="U8" s="8">
        <f>J6</f>
        <v>34.706499999999998</v>
      </c>
      <c r="Y8" s="22"/>
    </row>
    <row r="9" spans="2:28" x14ac:dyDescent="0.2">
      <c r="B9" s="2" t="s">
        <v>170</v>
      </c>
      <c r="C9" s="2" t="s">
        <v>73</v>
      </c>
      <c r="D9" s="2" t="s">
        <v>83</v>
      </c>
      <c r="E9" s="2" t="s">
        <v>317</v>
      </c>
      <c r="F9" s="2" t="s">
        <v>324</v>
      </c>
      <c r="G9" s="2" t="str">
        <f t="shared" si="0"/>
        <v>Offshore</v>
      </c>
      <c r="H9" s="2" t="s">
        <v>323</v>
      </c>
      <c r="I9" s="8">
        <v>120.38</v>
      </c>
      <c r="J9" s="8">
        <f t="shared" si="1"/>
        <v>123.38949999999998</v>
      </c>
      <c r="K9" s="8">
        <f t="shared" si="4"/>
        <v>17.5</v>
      </c>
      <c r="L9" s="8">
        <f t="shared" si="2"/>
        <v>30</v>
      </c>
      <c r="M9" s="8">
        <f t="shared" si="3"/>
        <v>75.889499999999984</v>
      </c>
      <c r="N9" s="8"/>
      <c r="O9" s="8"/>
      <c r="R9" s="2" t="s">
        <v>72</v>
      </c>
      <c r="S9" s="2" t="s">
        <v>154</v>
      </c>
      <c r="T9" s="2" t="s">
        <v>145</v>
      </c>
      <c r="U9" s="8">
        <f>J5</f>
        <v>34.132499999999993</v>
      </c>
    </row>
    <row r="10" spans="2:28" x14ac:dyDescent="0.2">
      <c r="B10" s="2" t="s">
        <v>170</v>
      </c>
      <c r="C10" s="2" t="s">
        <v>73</v>
      </c>
      <c r="D10" s="2" t="s">
        <v>84</v>
      </c>
      <c r="E10" s="2" t="s">
        <v>317</v>
      </c>
      <c r="F10" s="2" t="s">
        <v>324</v>
      </c>
      <c r="G10" s="2" t="str">
        <f t="shared" si="0"/>
        <v>Offshore</v>
      </c>
      <c r="H10" s="2" t="s">
        <v>323</v>
      </c>
      <c r="I10" s="8">
        <v>117.54</v>
      </c>
      <c r="J10" s="8">
        <f t="shared" si="1"/>
        <v>120.4785</v>
      </c>
      <c r="K10" s="8">
        <f t="shared" si="4"/>
        <v>17.5</v>
      </c>
      <c r="L10" s="8">
        <f t="shared" si="2"/>
        <v>30</v>
      </c>
      <c r="M10" s="8">
        <f t="shared" si="3"/>
        <v>72.978499999999997</v>
      </c>
      <c r="N10" s="8"/>
      <c r="O10" s="8"/>
      <c r="R10" s="2" t="s">
        <v>72</v>
      </c>
      <c r="S10" s="2" t="s">
        <v>156</v>
      </c>
      <c r="T10" s="2" t="s">
        <v>145</v>
      </c>
      <c r="U10" s="8">
        <f>J6</f>
        <v>34.706499999999998</v>
      </c>
      <c r="V10" s="8"/>
    </row>
    <row r="11" spans="2:28" x14ac:dyDescent="0.2">
      <c r="B11" s="2" t="s">
        <v>170</v>
      </c>
      <c r="C11" s="2" t="s">
        <v>73</v>
      </c>
      <c r="D11" s="2" t="s">
        <v>85</v>
      </c>
      <c r="E11" s="2" t="s">
        <v>317</v>
      </c>
      <c r="F11" s="2" t="s">
        <v>324</v>
      </c>
      <c r="G11" s="2" t="str">
        <f t="shared" si="0"/>
        <v>Offshore</v>
      </c>
      <c r="H11" s="2" t="s">
        <v>323</v>
      </c>
      <c r="I11" s="8">
        <v>115.23</v>
      </c>
      <c r="J11" s="8">
        <f t="shared" si="1"/>
        <v>118.11075</v>
      </c>
      <c r="K11" s="8">
        <f t="shared" si="4"/>
        <v>17.5</v>
      </c>
      <c r="L11" s="8">
        <f t="shared" si="2"/>
        <v>30</v>
      </c>
      <c r="M11" s="8">
        <f t="shared" si="3"/>
        <v>70.610749999999996</v>
      </c>
      <c r="N11" s="8"/>
      <c r="O11" s="8"/>
      <c r="R11" s="2" t="s">
        <v>73</v>
      </c>
      <c r="S11" s="2" t="s">
        <v>154</v>
      </c>
      <c r="T11" s="2" t="s">
        <v>127</v>
      </c>
      <c r="U11" s="23" cm="1">
        <f t="array" ref="U11">_xlfn.PERCENTILE.INC(_xlfn._xlws.FILTER($J$5:$J$98,($C$5:$C$98="Germany")*($B$5:B98="Pipeline Allowed")),0.25)</f>
        <v>52.784937499999998</v>
      </c>
    </row>
    <row r="12" spans="2:28" x14ac:dyDescent="0.2">
      <c r="B12" s="2" t="s">
        <v>170</v>
      </c>
      <c r="C12" s="2" t="s">
        <v>73</v>
      </c>
      <c r="D12" s="2" t="s">
        <v>86</v>
      </c>
      <c r="E12" s="2" t="s">
        <v>317</v>
      </c>
      <c r="F12" s="2" t="s">
        <v>324</v>
      </c>
      <c r="G12" s="2" t="str">
        <f t="shared" si="0"/>
        <v>Offshore</v>
      </c>
      <c r="H12" s="2" t="s">
        <v>323</v>
      </c>
      <c r="I12" s="8">
        <v>114.96</v>
      </c>
      <c r="J12" s="8">
        <f t="shared" si="1"/>
        <v>117.83399999999999</v>
      </c>
      <c r="K12" s="8">
        <f t="shared" si="4"/>
        <v>17.5</v>
      </c>
      <c r="L12" s="8">
        <f t="shared" si="2"/>
        <v>30</v>
      </c>
      <c r="M12" s="8">
        <f t="shared" si="3"/>
        <v>70.333999999999989</v>
      </c>
      <c r="N12" s="8"/>
      <c r="O12" s="8"/>
      <c r="R12" s="2" t="s">
        <v>73</v>
      </c>
      <c r="S12" s="2" t="s">
        <v>156</v>
      </c>
      <c r="T12" s="2" t="s">
        <v>127</v>
      </c>
      <c r="U12" s="8" cm="1">
        <f t="array" ref="U12">_xlfn.PERCENTILE.INC(_xlfn._xlws.FILTER($J$5:$J$98,($C$5:$C$98="Germany")*($B$5:B98="Pipeline Disallowed")),0.25)</f>
        <v>97.308374999999998</v>
      </c>
    </row>
    <row r="13" spans="2:28" x14ac:dyDescent="0.2">
      <c r="B13" s="2" t="s">
        <v>170</v>
      </c>
      <c r="C13" s="2" t="s">
        <v>73</v>
      </c>
      <c r="D13" s="2" t="s">
        <v>87</v>
      </c>
      <c r="E13" s="2" t="s">
        <v>317</v>
      </c>
      <c r="F13" s="2" t="s">
        <v>324</v>
      </c>
      <c r="G13" s="2" t="str">
        <f t="shared" si="0"/>
        <v>Offshore</v>
      </c>
      <c r="H13" s="2" t="s">
        <v>323</v>
      </c>
      <c r="I13" s="8">
        <v>114.89</v>
      </c>
      <c r="J13" s="8">
        <f t="shared" si="1"/>
        <v>117.76224999999999</v>
      </c>
      <c r="K13" s="8">
        <f t="shared" si="4"/>
        <v>17.5</v>
      </c>
      <c r="L13" s="8">
        <f t="shared" si="2"/>
        <v>30</v>
      </c>
      <c r="M13" s="8">
        <f t="shared" si="3"/>
        <v>70.262249999999995</v>
      </c>
      <c r="N13" s="8"/>
      <c r="O13" s="8"/>
      <c r="R13" s="2" t="s">
        <v>73</v>
      </c>
      <c r="S13" s="2" t="s">
        <v>154</v>
      </c>
      <c r="T13" s="2" t="s">
        <v>144</v>
      </c>
      <c r="U13" s="8" cm="1">
        <f t="array" ref="U13">MEDIAN(_xlfn._xlws.FILTER(J5:J98,(C5:C98="Germany")*(B5:B98="Pipeline Allowed")))</f>
        <v>71.939625000000007</v>
      </c>
    </row>
    <row r="14" spans="2:28" x14ac:dyDescent="0.2">
      <c r="B14" s="2" t="s">
        <v>170</v>
      </c>
      <c r="C14" s="2" t="s">
        <v>73</v>
      </c>
      <c r="D14" s="2" t="s">
        <v>88</v>
      </c>
      <c r="E14" s="2" t="s">
        <v>317</v>
      </c>
      <c r="F14" s="2" t="s">
        <v>318</v>
      </c>
      <c r="G14" s="2" t="str">
        <f t="shared" si="0"/>
        <v>Offshore</v>
      </c>
      <c r="H14" s="2" t="s">
        <v>322</v>
      </c>
      <c r="I14" s="8">
        <v>114.01</v>
      </c>
      <c r="J14" s="8">
        <f t="shared" si="1"/>
        <v>116.86024999999999</v>
      </c>
      <c r="K14" s="8">
        <f t="shared" si="4"/>
        <v>17.5</v>
      </c>
      <c r="L14" s="8">
        <f t="shared" si="2"/>
        <v>30</v>
      </c>
      <c r="M14" s="8">
        <f t="shared" si="3"/>
        <v>69.360249999999994</v>
      </c>
      <c r="N14" s="8"/>
      <c r="O14" s="8"/>
      <c r="R14" s="2" t="s">
        <v>73</v>
      </c>
      <c r="S14" s="2" t="s">
        <v>156</v>
      </c>
      <c r="T14" s="2" t="s">
        <v>144</v>
      </c>
      <c r="U14" s="8" cm="1">
        <f t="array" ref="U14">MEDIAN(_xlfn._xlws.FILTER(J5:J98,(C5:C98="Germany")*(B5:B98="Pipeline Disallowed")))</f>
        <v>105.57499999999999</v>
      </c>
      <c r="V14" s="8"/>
    </row>
    <row r="15" spans="2:28" x14ac:dyDescent="0.2">
      <c r="B15" s="2" t="s">
        <v>170</v>
      </c>
      <c r="C15" s="2" t="s">
        <v>73</v>
      </c>
      <c r="D15" s="2" t="s">
        <v>89</v>
      </c>
      <c r="E15" s="2" t="s">
        <v>317</v>
      </c>
      <c r="F15" s="2" t="s">
        <v>324</v>
      </c>
      <c r="G15" s="2" t="str">
        <f t="shared" si="0"/>
        <v>Offshore</v>
      </c>
      <c r="H15" s="2" t="s">
        <v>323</v>
      </c>
      <c r="I15" s="8">
        <v>113.63</v>
      </c>
      <c r="J15" s="8">
        <f t="shared" si="1"/>
        <v>116.47074999999998</v>
      </c>
      <c r="K15" s="8">
        <f t="shared" si="4"/>
        <v>17.5</v>
      </c>
      <c r="L15" s="8">
        <f t="shared" si="2"/>
        <v>30</v>
      </c>
      <c r="M15" s="8">
        <f t="shared" si="3"/>
        <v>68.970749999999981</v>
      </c>
      <c r="N15" s="8"/>
      <c r="O15" s="8"/>
      <c r="R15" s="2" t="s">
        <v>73</v>
      </c>
      <c r="S15" s="2" t="s">
        <v>154</v>
      </c>
      <c r="T15" s="2" t="s">
        <v>145</v>
      </c>
      <c r="U15" s="8" cm="1">
        <f t="array" ref="U15">_xlfn.PERCENTILE.INC(_xlfn._xlws.FILTER(J5:J98,(C5:C98="Germany")*(B5:B98="Pipeline Allowed")),0.75)</f>
        <v>78.960874999999987</v>
      </c>
      <c r="AA15"/>
      <c r="AB15"/>
    </row>
    <row r="16" spans="2:28" x14ac:dyDescent="0.2">
      <c r="B16" s="2" t="s">
        <v>170</v>
      </c>
      <c r="C16" s="2" t="s">
        <v>73</v>
      </c>
      <c r="D16" s="2" t="s">
        <v>90</v>
      </c>
      <c r="E16" s="2" t="s">
        <v>317</v>
      </c>
      <c r="F16" s="2" t="s">
        <v>320</v>
      </c>
      <c r="G16" s="2" t="str">
        <f t="shared" si="0"/>
        <v>Offshore</v>
      </c>
      <c r="H16" s="2" t="s">
        <v>322</v>
      </c>
      <c r="I16" s="8">
        <v>112.33</v>
      </c>
      <c r="J16" s="8">
        <f t="shared" si="1"/>
        <v>115.13824999999999</v>
      </c>
      <c r="K16" s="8">
        <f t="shared" si="4"/>
        <v>17.5</v>
      </c>
      <c r="L16" s="8">
        <f t="shared" si="2"/>
        <v>30</v>
      </c>
      <c r="M16" s="8">
        <f t="shared" si="3"/>
        <v>67.638249999999985</v>
      </c>
      <c r="N16" s="8"/>
      <c r="O16" s="8"/>
      <c r="R16" s="2" t="s">
        <v>73</v>
      </c>
      <c r="S16" s="2" t="s">
        <v>156</v>
      </c>
      <c r="T16" s="2" t="s">
        <v>145</v>
      </c>
      <c r="U16" s="8" cm="1">
        <f t="array" ref="U16">_xlfn.PERCENTILE.INC(_xlfn._xlws.FILTER(J5:J98,(C5:C98="Germany")*(B5:B98="Pipeline Disallowed")),0.75)</f>
        <v>112.48862499999998</v>
      </c>
      <c r="V16" s="8"/>
    </row>
    <row r="17" spans="2:31" x14ac:dyDescent="0.2">
      <c r="B17" s="2" t="s">
        <v>170</v>
      </c>
      <c r="C17" s="2" t="s">
        <v>73</v>
      </c>
      <c r="D17" s="2" t="s">
        <v>91</v>
      </c>
      <c r="E17" s="2" t="s">
        <v>317</v>
      </c>
      <c r="F17" s="2" t="s">
        <v>320</v>
      </c>
      <c r="G17" s="2" t="str">
        <f t="shared" si="0"/>
        <v>Offshore</v>
      </c>
      <c r="H17" s="2" t="s">
        <v>322</v>
      </c>
      <c r="I17" s="8">
        <v>109.89</v>
      </c>
      <c r="J17" s="8">
        <f t="shared" si="1"/>
        <v>112.63724999999999</v>
      </c>
      <c r="K17" s="8">
        <f t="shared" si="4"/>
        <v>17.5</v>
      </c>
      <c r="L17" s="8">
        <f t="shared" si="2"/>
        <v>30</v>
      </c>
      <c r="M17" s="8">
        <f t="shared" si="3"/>
        <v>65.137249999999995</v>
      </c>
      <c r="N17" s="8"/>
      <c r="O17" s="8"/>
      <c r="R17" s="2" t="s">
        <v>73</v>
      </c>
      <c r="S17" s="2" t="s">
        <v>154</v>
      </c>
      <c r="T17" s="2" t="s">
        <v>377</v>
      </c>
      <c r="U17" s="8" cm="1">
        <f t="array" ref="U17">MIN(_xlfn._xlws.FILTER(J5:J98,(C5:C98="Germany")*(B5:B98="Pipeline Allowed")))</f>
        <v>38.375999999999998</v>
      </c>
    </row>
    <row r="18" spans="2:31" x14ac:dyDescent="0.2">
      <c r="B18" s="2" t="s">
        <v>170</v>
      </c>
      <c r="C18" s="2" t="s">
        <v>73</v>
      </c>
      <c r="D18" s="2" t="s">
        <v>92</v>
      </c>
      <c r="E18" s="2" t="s">
        <v>317</v>
      </c>
      <c r="F18" s="2" t="s">
        <v>324</v>
      </c>
      <c r="G18" s="2" t="str">
        <f t="shared" si="0"/>
        <v>Offshore</v>
      </c>
      <c r="H18" s="2" t="s">
        <v>323</v>
      </c>
      <c r="I18" s="8">
        <v>109.86</v>
      </c>
      <c r="J18" s="8">
        <f t="shared" si="1"/>
        <v>112.60649999999998</v>
      </c>
      <c r="K18" s="8">
        <f t="shared" si="4"/>
        <v>17.5</v>
      </c>
      <c r="L18" s="8">
        <f t="shared" si="2"/>
        <v>30</v>
      </c>
      <c r="M18" s="8">
        <f t="shared" si="3"/>
        <v>65.106499999999983</v>
      </c>
      <c r="N18" s="8"/>
      <c r="O18" s="8"/>
      <c r="R18" s="2" t="s">
        <v>73</v>
      </c>
      <c r="S18" s="2" t="s">
        <v>156</v>
      </c>
      <c r="T18" s="2" t="s">
        <v>377</v>
      </c>
      <c r="U18" s="8" cm="1">
        <f t="array" ref="U18">MIN(_xlfn._xlws.FILTER(J5:J98,(C5:C98="Germany")*(B5:B98="Pipeline Disallowed")))</f>
        <v>79.867999999999995</v>
      </c>
    </row>
    <row r="19" spans="2:31" x14ac:dyDescent="0.2">
      <c r="B19" s="2" t="s">
        <v>170</v>
      </c>
      <c r="C19" s="2" t="s">
        <v>73</v>
      </c>
      <c r="D19" s="2" t="s">
        <v>93</v>
      </c>
      <c r="E19" s="2" t="s">
        <v>317</v>
      </c>
      <c r="F19" s="2" t="s">
        <v>324</v>
      </c>
      <c r="G19" s="2" t="str">
        <f t="shared" si="0"/>
        <v>Offshore</v>
      </c>
      <c r="H19" s="2" t="s">
        <v>323</v>
      </c>
      <c r="I19" s="8">
        <v>109.4</v>
      </c>
      <c r="J19" s="8">
        <f t="shared" si="1"/>
        <v>112.13499999999999</v>
      </c>
      <c r="K19" s="8">
        <f t="shared" si="4"/>
        <v>17.5</v>
      </c>
      <c r="L19" s="8">
        <f t="shared" si="2"/>
        <v>30</v>
      </c>
      <c r="M19" s="8">
        <f t="shared" si="3"/>
        <v>64.634999999999991</v>
      </c>
      <c r="N19" s="8"/>
      <c r="O19" s="8"/>
      <c r="R19" s="2" t="s">
        <v>73</v>
      </c>
      <c r="S19" s="2" t="s">
        <v>154</v>
      </c>
      <c r="T19" s="2" t="s">
        <v>378</v>
      </c>
      <c r="U19" s="8" cm="1">
        <f t="array" ref="U19">MAX(_xlfn._xlws.FILTER(J5:J98,(C5:C98="Germany")*(B5:B98="Pipeline Allowed")))</f>
        <v>116.86024999999999</v>
      </c>
    </row>
    <row r="20" spans="2:31" x14ac:dyDescent="0.2">
      <c r="B20" s="2" t="s">
        <v>170</v>
      </c>
      <c r="C20" s="2" t="s">
        <v>73</v>
      </c>
      <c r="D20" s="2" t="s">
        <v>94</v>
      </c>
      <c r="E20" s="2" t="s">
        <v>317</v>
      </c>
      <c r="F20" s="2" t="s">
        <v>320</v>
      </c>
      <c r="G20" s="2" t="str">
        <f t="shared" si="0"/>
        <v>Offshore</v>
      </c>
      <c r="H20" s="2" t="s">
        <v>322</v>
      </c>
      <c r="I20" s="8">
        <v>108.8</v>
      </c>
      <c r="J20" s="8">
        <f t="shared" si="1"/>
        <v>111.51999999999998</v>
      </c>
      <c r="K20" s="8">
        <f t="shared" si="4"/>
        <v>17.5</v>
      </c>
      <c r="L20" s="8">
        <f t="shared" si="2"/>
        <v>30</v>
      </c>
      <c r="M20" s="8">
        <f t="shared" si="3"/>
        <v>64.019999999999982</v>
      </c>
      <c r="N20" s="8"/>
      <c r="O20" s="8"/>
      <c r="R20" s="2" t="s">
        <v>73</v>
      </c>
      <c r="S20" s="2" t="s">
        <v>156</v>
      </c>
      <c r="T20" s="2" t="s">
        <v>378</v>
      </c>
      <c r="U20" s="8" cm="1">
        <f t="array" ref="U20">MAX(_xlfn._xlws.FILTER(J5:J98,(C5:C98="Germany")*(B5:B98="Pipeline Disallowed")))</f>
        <v>124.066</v>
      </c>
      <c r="W20"/>
    </row>
    <row r="21" spans="2:31" x14ac:dyDescent="0.2">
      <c r="B21" s="2" t="s">
        <v>170</v>
      </c>
      <c r="C21" s="2" t="s">
        <v>73</v>
      </c>
      <c r="D21" s="2" t="s">
        <v>95</v>
      </c>
      <c r="E21" s="2" t="s">
        <v>317</v>
      </c>
      <c r="F21" s="2" t="s">
        <v>320</v>
      </c>
      <c r="G21" s="2" t="str">
        <f t="shared" si="0"/>
        <v>Offshore</v>
      </c>
      <c r="H21" s="2" t="s">
        <v>322</v>
      </c>
      <c r="I21" s="8">
        <v>108.77</v>
      </c>
      <c r="J21" s="8">
        <f t="shared" si="1"/>
        <v>111.48924999999998</v>
      </c>
      <c r="K21" s="8">
        <f t="shared" si="4"/>
        <v>17.5</v>
      </c>
      <c r="L21" s="8">
        <f t="shared" si="2"/>
        <v>30</v>
      </c>
      <c r="M21" s="8">
        <f t="shared" si="3"/>
        <v>63.989249999999984</v>
      </c>
      <c r="N21" s="8"/>
      <c r="O21" s="8"/>
      <c r="W21"/>
    </row>
    <row r="22" spans="2:31" x14ac:dyDescent="0.2">
      <c r="B22" s="2" t="s">
        <v>170</v>
      </c>
      <c r="C22" s="2" t="s">
        <v>73</v>
      </c>
      <c r="D22" s="2" t="s">
        <v>96</v>
      </c>
      <c r="E22" s="2" t="s">
        <v>317</v>
      </c>
      <c r="F22" s="2" t="s">
        <v>320</v>
      </c>
      <c r="G22" s="2" t="str">
        <f t="shared" si="0"/>
        <v>Offshore</v>
      </c>
      <c r="H22" s="2" t="s">
        <v>322</v>
      </c>
      <c r="I22" s="8">
        <v>108.48</v>
      </c>
      <c r="J22" s="8">
        <f t="shared" si="1"/>
        <v>111.19199999999999</v>
      </c>
      <c r="K22" s="8">
        <f t="shared" si="4"/>
        <v>17.5</v>
      </c>
      <c r="L22" s="8">
        <f t="shared" si="2"/>
        <v>30</v>
      </c>
      <c r="M22" s="8">
        <f t="shared" si="3"/>
        <v>63.691999999999993</v>
      </c>
      <c r="N22" s="8"/>
      <c r="O22" s="8"/>
      <c r="R22" s="29" t="s">
        <v>75</v>
      </c>
      <c r="S22" t="s">
        <v>169</v>
      </c>
      <c r="U22" s="29" t="s">
        <v>75</v>
      </c>
      <c r="V22" t="s">
        <v>170</v>
      </c>
      <c r="W22"/>
      <c r="X22" s="29" t="s">
        <v>76</v>
      </c>
      <c r="Y22" t="s">
        <v>73</v>
      </c>
      <c r="AA22" s="29" t="s">
        <v>76</v>
      </c>
      <c r="AB22" t="s">
        <v>73</v>
      </c>
      <c r="AC22"/>
    </row>
    <row r="23" spans="2:31" x14ac:dyDescent="0.2">
      <c r="B23" s="2" t="s">
        <v>170</v>
      </c>
      <c r="C23" s="2" t="s">
        <v>73</v>
      </c>
      <c r="D23" s="2" t="s">
        <v>97</v>
      </c>
      <c r="E23" s="2" t="s">
        <v>317</v>
      </c>
      <c r="F23" s="2" t="s">
        <v>320</v>
      </c>
      <c r="G23" s="2" t="str">
        <f t="shared" si="0"/>
        <v>Offshore</v>
      </c>
      <c r="H23" s="2" t="s">
        <v>322</v>
      </c>
      <c r="I23" s="8">
        <v>108.45</v>
      </c>
      <c r="J23" s="8">
        <f t="shared" si="1"/>
        <v>111.16125</v>
      </c>
      <c r="K23" s="8">
        <f t="shared" si="4"/>
        <v>17.5</v>
      </c>
      <c r="L23" s="8">
        <f t="shared" si="2"/>
        <v>30</v>
      </c>
      <c r="M23" s="8">
        <f t="shared" si="3"/>
        <v>63.661249999999995</v>
      </c>
      <c r="N23" s="8"/>
      <c r="O23" s="8"/>
      <c r="R23" s="29" t="s">
        <v>76</v>
      </c>
      <c r="S23" t="s">
        <v>73</v>
      </c>
      <c r="U23" s="29" t="s">
        <v>76</v>
      </c>
      <c r="V23" t="s">
        <v>73</v>
      </c>
      <c r="W23"/>
      <c r="AC23"/>
    </row>
    <row r="24" spans="2:31" x14ac:dyDescent="0.2">
      <c r="B24" s="2" t="s">
        <v>170</v>
      </c>
      <c r="C24" s="2" t="s">
        <v>73</v>
      </c>
      <c r="D24" s="2" t="s">
        <v>98</v>
      </c>
      <c r="E24" s="2" t="s">
        <v>317</v>
      </c>
      <c r="F24" s="2" t="s">
        <v>320</v>
      </c>
      <c r="G24" s="2" t="str">
        <f t="shared" si="0"/>
        <v>Offshore</v>
      </c>
      <c r="H24" s="2" t="s">
        <v>322</v>
      </c>
      <c r="I24" s="8">
        <v>108.44</v>
      </c>
      <c r="J24" s="8">
        <f t="shared" si="1"/>
        <v>111.15099999999998</v>
      </c>
      <c r="K24" s="8">
        <f t="shared" si="4"/>
        <v>17.5</v>
      </c>
      <c r="L24" s="8">
        <f t="shared" si="2"/>
        <v>30</v>
      </c>
      <c r="M24" s="8">
        <f t="shared" si="3"/>
        <v>63.650999999999982</v>
      </c>
      <c r="N24" s="8"/>
      <c r="O24" s="8"/>
      <c r="U24"/>
      <c r="V24"/>
      <c r="W24"/>
      <c r="X24" s="29" t="s">
        <v>171</v>
      </c>
      <c r="Y24" t="s">
        <v>331</v>
      </c>
      <c r="Z24"/>
      <c r="AA24" s="29" t="s">
        <v>171</v>
      </c>
      <c r="AB24" t="s">
        <v>353</v>
      </c>
      <c r="AC24" t="s">
        <v>354</v>
      </c>
      <c r="AD24" t="s">
        <v>355</v>
      </c>
      <c r="AE24" t="s">
        <v>331</v>
      </c>
    </row>
    <row r="25" spans="2:31" x14ac:dyDescent="0.2">
      <c r="B25" s="2" t="s">
        <v>170</v>
      </c>
      <c r="C25" s="2" t="s">
        <v>73</v>
      </c>
      <c r="D25" s="2" t="s">
        <v>99</v>
      </c>
      <c r="E25" s="2" t="s">
        <v>317</v>
      </c>
      <c r="F25" s="2" t="s">
        <v>320</v>
      </c>
      <c r="G25" s="2" t="str">
        <f t="shared" si="0"/>
        <v>Offshore</v>
      </c>
      <c r="H25" s="2" t="s">
        <v>322</v>
      </c>
      <c r="I25" s="8">
        <v>108.24</v>
      </c>
      <c r="J25" s="8">
        <f t="shared" si="1"/>
        <v>110.94599999999998</v>
      </c>
      <c r="K25" s="8">
        <f t="shared" si="4"/>
        <v>17.5</v>
      </c>
      <c r="L25" s="8">
        <f t="shared" si="2"/>
        <v>30</v>
      </c>
      <c r="M25" s="8">
        <f t="shared" si="3"/>
        <v>63.445999999999984</v>
      </c>
      <c r="N25" s="8"/>
      <c r="O25" s="8"/>
      <c r="R25" s="29" t="s">
        <v>171</v>
      </c>
      <c r="S25" t="s">
        <v>173</v>
      </c>
      <c r="T25"/>
      <c r="U25" s="29" t="s">
        <v>171</v>
      </c>
      <c r="V25" t="s">
        <v>173</v>
      </c>
      <c r="W25"/>
      <c r="X25" s="30" t="s">
        <v>319</v>
      </c>
      <c r="Y25" s="31">
        <v>38.865035714285703</v>
      </c>
      <c r="Z25"/>
      <c r="AA25" s="30" t="s">
        <v>169</v>
      </c>
      <c r="AB25" s="31">
        <v>68.947293478260832</v>
      </c>
      <c r="AC25" s="31">
        <v>15.054347826086957</v>
      </c>
      <c r="AD25" s="31">
        <v>25.760869565217391</v>
      </c>
      <c r="AE25" s="31">
        <v>28.13207608695652</v>
      </c>
    </row>
    <row r="26" spans="2:31" x14ac:dyDescent="0.2">
      <c r="B26" s="2" t="s">
        <v>170</v>
      </c>
      <c r="C26" s="2" t="s">
        <v>73</v>
      </c>
      <c r="D26" s="2" t="s">
        <v>100</v>
      </c>
      <c r="E26" s="2" t="s">
        <v>317</v>
      </c>
      <c r="F26" s="2" t="s">
        <v>318</v>
      </c>
      <c r="G26" s="2" t="str">
        <f t="shared" si="0"/>
        <v>Offshore</v>
      </c>
      <c r="H26" s="2" t="s">
        <v>322</v>
      </c>
      <c r="I26" s="8">
        <v>108.1</v>
      </c>
      <c r="J26" s="8">
        <f t="shared" si="1"/>
        <v>110.80249999999998</v>
      </c>
      <c r="K26" s="8">
        <f t="shared" si="4"/>
        <v>17.5</v>
      </c>
      <c r="L26" s="8">
        <f t="shared" si="2"/>
        <v>30</v>
      </c>
      <c r="M26" s="8">
        <f t="shared" si="3"/>
        <v>63.302499999999981</v>
      </c>
      <c r="N26" s="8"/>
      <c r="O26" s="8"/>
      <c r="R26" s="30" t="s">
        <v>88</v>
      </c>
      <c r="S26" s="31">
        <v>116.39399999999999</v>
      </c>
      <c r="T26"/>
      <c r="U26" s="30" t="s">
        <v>81</v>
      </c>
      <c r="V26" s="31">
        <v>123.54099999999998</v>
      </c>
      <c r="W26"/>
      <c r="X26" s="71" t="s">
        <v>322</v>
      </c>
      <c r="Y26" s="31">
        <v>38.865035714285703</v>
      </c>
      <c r="Z26"/>
      <c r="AA26" s="71" t="s">
        <v>323</v>
      </c>
      <c r="AB26" s="31">
        <v>57.419163043478235</v>
      </c>
      <c r="AC26" s="31">
        <v>15</v>
      </c>
      <c r="AD26" s="31">
        <v>22.173913043478262</v>
      </c>
      <c r="AE26" s="31">
        <v>20.245249999999995</v>
      </c>
    </row>
    <row r="27" spans="2:31" x14ac:dyDescent="0.2">
      <c r="B27" s="2" t="s">
        <v>170</v>
      </c>
      <c r="C27" s="2" t="s">
        <v>73</v>
      </c>
      <c r="D27" s="2" t="s">
        <v>101</v>
      </c>
      <c r="E27" s="2" t="s">
        <v>317</v>
      </c>
      <c r="F27" s="2" t="s">
        <v>318</v>
      </c>
      <c r="G27" s="2" t="str">
        <f t="shared" si="0"/>
        <v>Offshore</v>
      </c>
      <c r="H27" s="2" t="s">
        <v>323</v>
      </c>
      <c r="I27" s="8">
        <v>106.94</v>
      </c>
      <c r="J27" s="8">
        <f t="shared" si="1"/>
        <v>109.61349999999999</v>
      </c>
      <c r="K27" s="8">
        <f t="shared" si="4"/>
        <v>17.5</v>
      </c>
      <c r="L27" s="8">
        <f t="shared" si="2"/>
        <v>30</v>
      </c>
      <c r="M27" s="8">
        <f t="shared" si="3"/>
        <v>62.113499999999988</v>
      </c>
      <c r="N27" s="8"/>
      <c r="O27" s="8"/>
      <c r="R27" s="30" t="s">
        <v>121</v>
      </c>
      <c r="S27" s="31">
        <v>87.29549999999999</v>
      </c>
      <c r="T27"/>
      <c r="U27" s="30" t="s">
        <v>82</v>
      </c>
      <c r="V27" s="31">
        <v>123.13259999999998</v>
      </c>
      <c r="W27"/>
      <c r="X27" s="30" t="s">
        <v>143</v>
      </c>
      <c r="Y27" s="31">
        <v>27.215894444444444</v>
      </c>
      <c r="Z27"/>
      <c r="AA27" s="85" t="s">
        <v>143</v>
      </c>
      <c r="AB27" s="31">
        <v>57.419163043478235</v>
      </c>
      <c r="AC27" s="31">
        <v>15</v>
      </c>
      <c r="AD27" s="31">
        <v>22.173913043478262</v>
      </c>
      <c r="AE27" s="31">
        <v>20.245249999999995</v>
      </c>
    </row>
    <row r="28" spans="2:31" x14ac:dyDescent="0.2">
      <c r="B28" s="2" t="s">
        <v>170</v>
      </c>
      <c r="C28" s="2" t="s">
        <v>73</v>
      </c>
      <c r="D28" s="2" t="s">
        <v>102</v>
      </c>
      <c r="E28" s="2" t="s">
        <v>317</v>
      </c>
      <c r="F28" s="2" t="s">
        <v>318</v>
      </c>
      <c r="G28" s="2" t="str">
        <f t="shared" si="0"/>
        <v>Offshore</v>
      </c>
      <c r="H28" s="2" t="s">
        <v>322</v>
      </c>
      <c r="I28" s="8">
        <v>104.75</v>
      </c>
      <c r="J28" s="8">
        <f t="shared" si="1"/>
        <v>107.36874999999999</v>
      </c>
      <c r="K28" s="8">
        <f t="shared" si="4"/>
        <v>17.5</v>
      </c>
      <c r="L28" s="8">
        <f t="shared" si="2"/>
        <v>30</v>
      </c>
      <c r="M28" s="8">
        <f t="shared" si="3"/>
        <v>59.868749999999991</v>
      </c>
      <c r="N28" s="8"/>
      <c r="O28" s="8"/>
      <c r="R28" s="30" t="s">
        <v>95</v>
      </c>
      <c r="S28" s="31">
        <v>85.661900000000003</v>
      </c>
      <c r="T28"/>
      <c r="U28" s="30" t="s">
        <v>83</v>
      </c>
      <c r="V28" s="31">
        <v>122.9284</v>
      </c>
      <c r="W28"/>
      <c r="X28" s="71" t="s">
        <v>323</v>
      </c>
      <c r="Y28" s="31">
        <v>20.245249999999999</v>
      </c>
      <c r="Z28"/>
      <c r="AA28" s="86" t="s">
        <v>318</v>
      </c>
      <c r="AB28" s="31">
        <v>70.008431818181805</v>
      </c>
      <c r="AC28" s="31">
        <v>15</v>
      </c>
      <c r="AD28" s="31">
        <v>30</v>
      </c>
      <c r="AE28" s="31">
        <v>25.008431818181808</v>
      </c>
    </row>
    <row r="29" spans="2:31" x14ac:dyDescent="0.2">
      <c r="B29" s="2" t="s">
        <v>170</v>
      </c>
      <c r="C29" s="2" t="s">
        <v>73</v>
      </c>
      <c r="D29" s="2" t="s">
        <v>103</v>
      </c>
      <c r="E29" s="2" t="s">
        <v>317</v>
      </c>
      <c r="F29" s="2" t="s">
        <v>318</v>
      </c>
      <c r="G29" s="2" t="str">
        <f t="shared" si="0"/>
        <v>Offshore</v>
      </c>
      <c r="H29" s="2" t="s">
        <v>322</v>
      </c>
      <c r="I29" s="8">
        <v>103.33</v>
      </c>
      <c r="J29" s="8">
        <f t="shared" si="1"/>
        <v>105.91324999999999</v>
      </c>
      <c r="K29" s="8">
        <f t="shared" si="4"/>
        <v>17.5</v>
      </c>
      <c r="L29" s="8">
        <f t="shared" si="2"/>
        <v>30</v>
      </c>
      <c r="M29" s="8">
        <f t="shared" si="3"/>
        <v>58.413249999999991</v>
      </c>
      <c r="N29" s="8"/>
      <c r="O29" s="8"/>
      <c r="R29" s="30" t="s">
        <v>99</v>
      </c>
      <c r="S29" s="31">
        <v>85.661900000000003</v>
      </c>
      <c r="T29"/>
      <c r="U29" s="30" t="s">
        <v>84</v>
      </c>
      <c r="V29" s="31">
        <v>119.96749999999999</v>
      </c>
      <c r="W29"/>
      <c r="X29" s="71" t="s">
        <v>322</v>
      </c>
      <c r="Y29" s="31">
        <v>34.503386363636359</v>
      </c>
      <c r="Z29"/>
      <c r="AA29" s="86" t="s">
        <v>321</v>
      </c>
      <c r="AB29" s="31">
        <v>45.878999999999998</v>
      </c>
      <c r="AC29" s="31">
        <v>15</v>
      </c>
      <c r="AD29" s="31">
        <v>15</v>
      </c>
      <c r="AE29" s="31">
        <v>15.878999999999996</v>
      </c>
    </row>
    <row r="30" spans="2:31" x14ac:dyDescent="0.2">
      <c r="B30" s="2" t="s">
        <v>170</v>
      </c>
      <c r="C30" s="2" t="s">
        <v>73</v>
      </c>
      <c r="D30" s="2" t="s">
        <v>104</v>
      </c>
      <c r="E30" s="2" t="s">
        <v>317</v>
      </c>
      <c r="F30" s="2" t="s">
        <v>320</v>
      </c>
      <c r="G30" s="2" t="str">
        <f t="shared" si="0"/>
        <v>Offshore</v>
      </c>
      <c r="H30" s="2" t="s">
        <v>322</v>
      </c>
      <c r="I30" s="8">
        <v>102.67</v>
      </c>
      <c r="J30" s="8">
        <f t="shared" si="1"/>
        <v>105.23674999999999</v>
      </c>
      <c r="K30" s="8">
        <f t="shared" si="4"/>
        <v>17.5</v>
      </c>
      <c r="L30" s="8">
        <f t="shared" si="2"/>
        <v>30</v>
      </c>
      <c r="M30" s="8">
        <f t="shared" si="3"/>
        <v>57.736749999999986</v>
      </c>
      <c r="N30" s="8"/>
      <c r="O30" s="8"/>
      <c r="R30" s="30" t="s">
        <v>91</v>
      </c>
      <c r="S30" s="31">
        <v>85.457699999999988</v>
      </c>
      <c r="T30"/>
      <c r="U30" s="30" t="s">
        <v>85</v>
      </c>
      <c r="V30" s="31">
        <v>117.64982999999999</v>
      </c>
      <c r="W30"/>
      <c r="X30" s="30" t="s">
        <v>317</v>
      </c>
      <c r="Y30" s="31">
        <v>61.005731250000032</v>
      </c>
      <c r="Z30"/>
      <c r="AA30" s="71" t="s">
        <v>322</v>
      </c>
      <c r="AB30" s="31">
        <v>80.475423913043471</v>
      </c>
      <c r="AC30" s="31">
        <v>15.108695652173912</v>
      </c>
      <c r="AD30" s="31">
        <v>29.347826086956523</v>
      </c>
      <c r="AE30" s="31">
        <v>36.018902173913034</v>
      </c>
    </row>
    <row r="31" spans="2:31" x14ac:dyDescent="0.2">
      <c r="B31" s="2" t="s">
        <v>170</v>
      </c>
      <c r="C31" s="2" t="s">
        <v>73</v>
      </c>
      <c r="D31" s="2" t="s">
        <v>105</v>
      </c>
      <c r="E31" s="2" t="s">
        <v>317</v>
      </c>
      <c r="F31" s="2" t="s">
        <v>318</v>
      </c>
      <c r="G31" s="2" t="str">
        <f t="shared" si="0"/>
        <v>Offshore</v>
      </c>
      <c r="H31" s="2" t="s">
        <v>322</v>
      </c>
      <c r="I31" s="8">
        <v>99.67</v>
      </c>
      <c r="J31" s="8">
        <f t="shared" si="1"/>
        <v>102.16175</v>
      </c>
      <c r="K31" s="8">
        <f t="shared" si="4"/>
        <v>17.5</v>
      </c>
      <c r="L31" s="8">
        <f t="shared" si="2"/>
        <v>30</v>
      </c>
      <c r="M31" s="8">
        <f t="shared" si="3"/>
        <v>54.661749999999998</v>
      </c>
      <c r="N31" s="8"/>
      <c r="O31" s="8"/>
      <c r="R31" s="30" t="s">
        <v>98</v>
      </c>
      <c r="S31" s="31">
        <v>84.538799999999995</v>
      </c>
      <c r="T31"/>
      <c r="U31" s="30" t="s">
        <v>86</v>
      </c>
      <c r="V31" s="31">
        <v>117.37415999999999</v>
      </c>
      <c r="W31"/>
      <c r="X31" s="71" t="s">
        <v>323</v>
      </c>
      <c r="Y31" s="31">
        <v>60.26850000000001</v>
      </c>
      <c r="Z31"/>
      <c r="AA31" s="85" t="s">
        <v>143</v>
      </c>
      <c r="AB31" s="31">
        <v>78.821568181818179</v>
      </c>
      <c r="AC31" s="31">
        <v>15</v>
      </c>
      <c r="AD31" s="31">
        <v>29.318181818181817</v>
      </c>
      <c r="AE31" s="31">
        <v>34.503386363636359</v>
      </c>
    </row>
    <row r="32" spans="2:31" x14ac:dyDescent="0.2">
      <c r="B32" s="2" t="s">
        <v>170</v>
      </c>
      <c r="C32" s="2" t="s">
        <v>73</v>
      </c>
      <c r="D32" s="2" t="s">
        <v>106</v>
      </c>
      <c r="E32" s="2" t="s">
        <v>317</v>
      </c>
      <c r="F32" s="2" t="s">
        <v>318</v>
      </c>
      <c r="G32" s="2" t="str">
        <f t="shared" si="0"/>
        <v>Offshore</v>
      </c>
      <c r="H32" s="2" t="s">
        <v>322</v>
      </c>
      <c r="I32" s="8">
        <v>99.67</v>
      </c>
      <c r="J32" s="8">
        <f t="shared" si="1"/>
        <v>102.16175</v>
      </c>
      <c r="K32" s="8">
        <f t="shared" si="4"/>
        <v>17.5</v>
      </c>
      <c r="L32" s="8">
        <f t="shared" si="2"/>
        <v>30</v>
      </c>
      <c r="M32" s="8">
        <f t="shared" si="3"/>
        <v>54.661749999999998</v>
      </c>
      <c r="N32" s="8"/>
      <c r="O32" s="8"/>
      <c r="R32" s="30" t="s">
        <v>94</v>
      </c>
      <c r="S32" s="31">
        <v>84.436700000000002</v>
      </c>
      <c r="T32"/>
      <c r="U32" s="30" t="s">
        <v>87</v>
      </c>
      <c r="V32" s="31">
        <v>117.30268999999998</v>
      </c>
      <c r="W32"/>
      <c r="X32" s="71" t="s">
        <v>322</v>
      </c>
      <c r="Y32" s="31">
        <v>62.003161764705872</v>
      </c>
      <c r="Z32"/>
      <c r="AA32" s="86" t="s">
        <v>320</v>
      </c>
      <c r="AB32" s="31">
        <v>76.068666666666658</v>
      </c>
      <c r="AC32" s="31">
        <v>15</v>
      </c>
      <c r="AD32" s="31">
        <v>30</v>
      </c>
      <c r="AE32" s="31">
        <v>31.068666666666662</v>
      </c>
    </row>
    <row r="33" spans="2:31" x14ac:dyDescent="0.2">
      <c r="B33" s="2" t="s">
        <v>170</v>
      </c>
      <c r="C33" s="2" t="s">
        <v>73</v>
      </c>
      <c r="D33" s="2" t="s">
        <v>107</v>
      </c>
      <c r="E33" s="2" t="s">
        <v>317</v>
      </c>
      <c r="F33" s="2" t="s">
        <v>318</v>
      </c>
      <c r="G33" s="2" t="str">
        <f t="shared" si="0"/>
        <v>Offshore</v>
      </c>
      <c r="H33" s="2" t="s">
        <v>323</v>
      </c>
      <c r="I33" s="8">
        <v>99.57</v>
      </c>
      <c r="J33" s="8">
        <f t="shared" si="1"/>
        <v>102.05924999999998</v>
      </c>
      <c r="K33" s="8">
        <f t="shared" si="4"/>
        <v>17.5</v>
      </c>
      <c r="L33" s="8">
        <f t="shared" si="2"/>
        <v>30</v>
      </c>
      <c r="M33" s="8">
        <f t="shared" si="3"/>
        <v>54.559249999999977</v>
      </c>
      <c r="N33" s="8"/>
      <c r="O33" s="8"/>
      <c r="R33" s="30" t="s">
        <v>96</v>
      </c>
      <c r="S33" s="31">
        <v>84.436700000000002</v>
      </c>
      <c r="T33"/>
      <c r="U33" s="30" t="s">
        <v>88</v>
      </c>
      <c r="V33" s="31">
        <v>116.39399999999999</v>
      </c>
      <c r="W33"/>
      <c r="X33" s="30" t="s">
        <v>172</v>
      </c>
      <c r="Y33" s="31">
        <v>42.793475543478259</v>
      </c>
      <c r="Z33"/>
      <c r="AA33" s="86" t="s">
        <v>318</v>
      </c>
      <c r="AB33" s="31">
        <v>80.283124999999984</v>
      </c>
      <c r="AC33" s="31">
        <v>15</v>
      </c>
      <c r="AD33" s="31">
        <v>30</v>
      </c>
      <c r="AE33" s="31">
        <v>35.283124999999998</v>
      </c>
    </row>
    <row r="34" spans="2:31" x14ac:dyDescent="0.2">
      <c r="B34" s="2" t="s">
        <v>170</v>
      </c>
      <c r="C34" s="2" t="s">
        <v>73</v>
      </c>
      <c r="D34" s="2" t="s">
        <v>108</v>
      </c>
      <c r="E34" s="2" t="s">
        <v>317</v>
      </c>
      <c r="F34" s="2" t="s">
        <v>324</v>
      </c>
      <c r="G34" s="2" t="str">
        <f t="shared" si="0"/>
        <v>Offshore</v>
      </c>
      <c r="H34" s="2" t="s">
        <v>323</v>
      </c>
      <c r="I34" s="8">
        <v>99.02</v>
      </c>
      <c r="J34" s="8">
        <f t="shared" si="1"/>
        <v>101.49549999999999</v>
      </c>
      <c r="K34" s="8">
        <f t="shared" si="4"/>
        <v>17.5</v>
      </c>
      <c r="L34" s="8">
        <f t="shared" si="2"/>
        <v>30</v>
      </c>
      <c r="M34" s="8">
        <f t="shared" si="3"/>
        <v>53.995499999999993</v>
      </c>
      <c r="N34" s="8"/>
      <c r="O34" s="8"/>
      <c r="R34" s="30" t="s">
        <v>97</v>
      </c>
      <c r="S34" s="31">
        <v>84.436700000000002</v>
      </c>
      <c r="T34"/>
      <c r="U34" s="30" t="s">
        <v>89</v>
      </c>
      <c r="V34" s="31">
        <v>115.98559999999998</v>
      </c>
      <c r="W34"/>
      <c r="X34"/>
      <c r="Y34"/>
      <c r="Z34"/>
      <c r="AA34" s="86" t="s">
        <v>321</v>
      </c>
      <c r="AB34" s="31">
        <v>60.772249999999993</v>
      </c>
      <c r="AC34" s="31">
        <v>15</v>
      </c>
      <c r="AD34" s="31">
        <v>15</v>
      </c>
      <c r="AE34" s="31">
        <v>30.772249999999993</v>
      </c>
    </row>
    <row r="35" spans="2:31" x14ac:dyDescent="0.2">
      <c r="B35" s="2" t="s">
        <v>170</v>
      </c>
      <c r="C35" s="2" t="s">
        <v>73</v>
      </c>
      <c r="D35" s="2" t="s">
        <v>109</v>
      </c>
      <c r="E35" s="2" t="s">
        <v>317</v>
      </c>
      <c r="F35" s="2" t="s">
        <v>318</v>
      </c>
      <c r="G35" s="2" t="str">
        <f t="shared" si="0"/>
        <v>Offshore</v>
      </c>
      <c r="H35" s="2" t="s">
        <v>323</v>
      </c>
      <c r="I35" s="8">
        <v>98.56</v>
      </c>
      <c r="J35" s="8">
        <f t="shared" si="1"/>
        <v>101.02399999999999</v>
      </c>
      <c r="K35" s="8">
        <f t="shared" si="4"/>
        <v>17.5</v>
      </c>
      <c r="L35" s="8">
        <f t="shared" si="2"/>
        <v>30</v>
      </c>
      <c r="M35" s="8">
        <f t="shared" si="3"/>
        <v>53.523999999999987</v>
      </c>
      <c r="N35" s="8"/>
      <c r="O35" s="8"/>
      <c r="R35" s="30" t="s">
        <v>100</v>
      </c>
      <c r="S35" s="31">
        <v>80.046400000000006</v>
      </c>
      <c r="T35"/>
      <c r="U35" s="30" t="s">
        <v>90</v>
      </c>
      <c r="V35" s="31">
        <v>114.65829999999998</v>
      </c>
      <c r="W35"/>
      <c r="X35"/>
      <c r="Y35"/>
      <c r="Z35"/>
      <c r="AA35" s="85" t="s">
        <v>317</v>
      </c>
      <c r="AB35" s="31">
        <v>116.86024999999999</v>
      </c>
      <c r="AC35" s="31">
        <v>17.5</v>
      </c>
      <c r="AD35" s="31">
        <v>30</v>
      </c>
      <c r="AE35" s="31">
        <v>69.360249999999994</v>
      </c>
    </row>
    <row r="36" spans="2:31" x14ac:dyDescent="0.2">
      <c r="B36" s="2" t="s">
        <v>170</v>
      </c>
      <c r="C36" s="2" t="s">
        <v>73</v>
      </c>
      <c r="D36" s="2" t="s">
        <v>126</v>
      </c>
      <c r="E36" s="2" t="s">
        <v>317</v>
      </c>
      <c r="F36" s="2" t="s">
        <v>318</v>
      </c>
      <c r="G36" s="2" t="str">
        <f t="shared" si="0"/>
        <v>Offshore</v>
      </c>
      <c r="H36" s="2" t="s">
        <v>323</v>
      </c>
      <c r="I36" s="8">
        <v>98.44</v>
      </c>
      <c r="J36" s="8">
        <f t="shared" si="1"/>
        <v>100.90099999999998</v>
      </c>
      <c r="K36" s="8">
        <f t="shared" si="4"/>
        <v>17.5</v>
      </c>
      <c r="L36" s="8">
        <f t="shared" si="2"/>
        <v>30</v>
      </c>
      <c r="M36" s="8">
        <f t="shared" si="3"/>
        <v>53.400999999999982</v>
      </c>
      <c r="N36" s="8"/>
      <c r="O36" s="8"/>
      <c r="R36" s="30" t="s">
        <v>122</v>
      </c>
      <c r="S36" s="31">
        <v>79.025400000000005</v>
      </c>
      <c r="T36"/>
      <c r="U36" s="30" t="s">
        <v>92</v>
      </c>
      <c r="V36" s="31">
        <v>112.2079</v>
      </c>
      <c r="W36"/>
      <c r="X36"/>
      <c r="Y36"/>
      <c r="Z36"/>
      <c r="AA36" s="86" t="s">
        <v>318</v>
      </c>
      <c r="AB36" s="31">
        <v>116.86024999999999</v>
      </c>
      <c r="AC36" s="31">
        <v>17.5</v>
      </c>
      <c r="AD36" s="31">
        <v>30</v>
      </c>
      <c r="AE36" s="31">
        <v>69.360249999999994</v>
      </c>
    </row>
    <row r="37" spans="2:31" x14ac:dyDescent="0.2">
      <c r="B37" s="2" t="s">
        <v>170</v>
      </c>
      <c r="C37" s="2" t="s">
        <v>73</v>
      </c>
      <c r="D37" s="2" t="s">
        <v>110</v>
      </c>
      <c r="E37" s="2" t="s">
        <v>317</v>
      </c>
      <c r="F37" s="2" t="s">
        <v>318</v>
      </c>
      <c r="G37" s="2" t="str">
        <f t="shared" si="0"/>
        <v>Offshore</v>
      </c>
      <c r="H37" s="2" t="s">
        <v>323</v>
      </c>
      <c r="I37" s="8">
        <v>97.24</v>
      </c>
      <c r="J37" s="8">
        <f t="shared" si="1"/>
        <v>99.670999999999992</v>
      </c>
      <c r="K37" s="8">
        <f t="shared" si="4"/>
        <v>17.5</v>
      </c>
      <c r="L37" s="8">
        <f t="shared" si="2"/>
        <v>30</v>
      </c>
      <c r="M37" s="8">
        <f t="shared" si="3"/>
        <v>52.170999999999992</v>
      </c>
      <c r="N37" s="8"/>
      <c r="O37" s="8"/>
      <c r="R37" s="30" t="s">
        <v>123</v>
      </c>
      <c r="S37" s="31">
        <v>78.82119999999999</v>
      </c>
      <c r="T37"/>
      <c r="U37" s="30" t="s">
        <v>91</v>
      </c>
      <c r="V37" s="31">
        <v>112.2079</v>
      </c>
      <c r="W37"/>
      <c r="X37"/>
      <c r="Y37"/>
      <c r="Z37"/>
      <c r="AA37" s="30" t="s">
        <v>170</v>
      </c>
      <c r="AB37" s="31">
        <v>104.95487499999996</v>
      </c>
      <c r="AC37" s="31">
        <v>17.5</v>
      </c>
      <c r="AD37" s="31">
        <v>30</v>
      </c>
      <c r="AE37" s="31">
        <v>57.454875000000008</v>
      </c>
    </row>
    <row r="38" spans="2:31" x14ac:dyDescent="0.2">
      <c r="B38" s="2" t="s">
        <v>170</v>
      </c>
      <c r="C38" s="2" t="s">
        <v>73</v>
      </c>
      <c r="D38" s="2" t="s">
        <v>111</v>
      </c>
      <c r="E38" s="2" t="s">
        <v>317</v>
      </c>
      <c r="F38" s="2" t="s">
        <v>318</v>
      </c>
      <c r="G38" s="2" t="str">
        <f t="shared" si="0"/>
        <v>Offshore</v>
      </c>
      <c r="H38" s="2" t="s">
        <v>322</v>
      </c>
      <c r="I38" s="8">
        <v>96.54</v>
      </c>
      <c r="J38" s="8">
        <f t="shared" si="1"/>
        <v>98.953499999999991</v>
      </c>
      <c r="K38" s="8">
        <f t="shared" si="4"/>
        <v>17.5</v>
      </c>
      <c r="L38" s="8">
        <f t="shared" si="2"/>
        <v>30</v>
      </c>
      <c r="M38" s="8">
        <f t="shared" si="3"/>
        <v>51.453499999999991</v>
      </c>
      <c r="N38" s="8"/>
      <c r="O38" s="8"/>
      <c r="R38" s="30" t="s">
        <v>119</v>
      </c>
      <c r="S38" s="31">
        <v>78.20859999999999</v>
      </c>
      <c r="T38"/>
      <c r="U38" s="30" t="s">
        <v>93</v>
      </c>
      <c r="V38" s="31">
        <v>111.6974</v>
      </c>
      <c r="X38"/>
      <c r="Y38"/>
      <c r="Z38"/>
      <c r="AA38" s="71" t="s">
        <v>323</v>
      </c>
      <c r="AB38" s="31">
        <v>107.76849999999999</v>
      </c>
      <c r="AC38" s="31">
        <v>17.5</v>
      </c>
      <c r="AD38" s="31">
        <v>30</v>
      </c>
      <c r="AE38" s="31">
        <v>60.26850000000001</v>
      </c>
    </row>
    <row r="39" spans="2:31" x14ac:dyDescent="0.2">
      <c r="B39" s="2" t="s">
        <v>170</v>
      </c>
      <c r="C39" s="2" t="s">
        <v>73</v>
      </c>
      <c r="D39" s="2" t="s">
        <v>112</v>
      </c>
      <c r="E39" s="2" t="s">
        <v>317</v>
      </c>
      <c r="F39" s="2" t="s">
        <v>318</v>
      </c>
      <c r="G39" s="2" t="str">
        <f t="shared" si="0"/>
        <v>Offshore</v>
      </c>
      <c r="H39" s="2" t="s">
        <v>323</v>
      </c>
      <c r="I39" s="8">
        <v>96.1</v>
      </c>
      <c r="J39" s="8">
        <f t="shared" si="1"/>
        <v>98.502499999999984</v>
      </c>
      <c r="K39" s="8">
        <f t="shared" si="4"/>
        <v>17.5</v>
      </c>
      <c r="L39" s="8">
        <f t="shared" si="2"/>
        <v>30</v>
      </c>
      <c r="M39" s="8">
        <f t="shared" si="3"/>
        <v>51.002499999999984</v>
      </c>
      <c r="N39" s="8"/>
      <c r="O39" s="8"/>
      <c r="R39" s="30" t="s">
        <v>124</v>
      </c>
      <c r="S39" s="31">
        <v>78.106499999999997</v>
      </c>
      <c r="T39"/>
      <c r="U39" s="30" t="s">
        <v>94</v>
      </c>
      <c r="V39" s="31">
        <v>111.08479999999999</v>
      </c>
      <c r="X39"/>
      <c r="Y39"/>
      <c r="Z39"/>
      <c r="AA39" s="85" t="s">
        <v>317</v>
      </c>
      <c r="AB39" s="31">
        <v>107.76849999999999</v>
      </c>
      <c r="AC39" s="31">
        <v>17.5</v>
      </c>
      <c r="AD39" s="31">
        <v>30</v>
      </c>
      <c r="AE39" s="31">
        <v>60.26850000000001</v>
      </c>
    </row>
    <row r="40" spans="2:31" x14ac:dyDescent="0.2">
      <c r="B40" s="2" t="s">
        <v>170</v>
      </c>
      <c r="C40" s="2" t="s">
        <v>73</v>
      </c>
      <c r="D40" s="2" t="s">
        <v>113</v>
      </c>
      <c r="E40" s="2" t="s">
        <v>317</v>
      </c>
      <c r="F40" s="2" t="s">
        <v>318</v>
      </c>
      <c r="G40" s="2" t="str">
        <f t="shared" si="0"/>
        <v>Offshore</v>
      </c>
      <c r="H40" s="2" t="s">
        <v>323</v>
      </c>
      <c r="I40" s="8">
        <v>95.22</v>
      </c>
      <c r="J40" s="8">
        <f t="shared" si="1"/>
        <v>97.600499999999997</v>
      </c>
      <c r="K40" s="8">
        <f t="shared" si="4"/>
        <v>17.5</v>
      </c>
      <c r="L40" s="8">
        <f t="shared" si="2"/>
        <v>30</v>
      </c>
      <c r="M40" s="8">
        <f t="shared" si="3"/>
        <v>50.100499999999997</v>
      </c>
      <c r="N40" s="8"/>
      <c r="O40" s="8"/>
      <c r="R40" s="30" t="s">
        <v>120</v>
      </c>
      <c r="S40" s="31">
        <v>77.493899999999996</v>
      </c>
      <c r="T40"/>
      <c r="U40" s="30" t="s">
        <v>95</v>
      </c>
      <c r="V40" s="31">
        <v>111.08479999999999</v>
      </c>
      <c r="X40"/>
      <c r="Y40"/>
      <c r="Z40"/>
      <c r="AA40" s="86" t="s">
        <v>324</v>
      </c>
      <c r="AB40" s="31">
        <v>117.0866818181818</v>
      </c>
      <c r="AC40" s="31">
        <v>17.5</v>
      </c>
      <c r="AD40" s="31">
        <v>30</v>
      </c>
      <c r="AE40" s="31">
        <v>69.586681818181816</v>
      </c>
    </row>
    <row r="41" spans="2:31" x14ac:dyDescent="0.2">
      <c r="B41" s="2" t="s">
        <v>170</v>
      </c>
      <c r="C41" s="2" t="s">
        <v>73</v>
      </c>
      <c r="D41" s="2" t="s">
        <v>114</v>
      </c>
      <c r="E41" s="2" t="s">
        <v>317</v>
      </c>
      <c r="F41" s="2" t="s">
        <v>318</v>
      </c>
      <c r="G41" s="2" t="str">
        <f t="shared" si="0"/>
        <v>Offshore</v>
      </c>
      <c r="H41" s="2" t="s">
        <v>323</v>
      </c>
      <c r="I41" s="8">
        <v>94.84</v>
      </c>
      <c r="J41" s="8">
        <f t="shared" si="1"/>
        <v>97.210999999999999</v>
      </c>
      <c r="K41" s="8">
        <f t="shared" si="4"/>
        <v>17.5</v>
      </c>
      <c r="L41" s="8">
        <f t="shared" si="2"/>
        <v>30</v>
      </c>
      <c r="M41" s="8">
        <f t="shared" si="3"/>
        <v>49.710999999999999</v>
      </c>
      <c r="N41" s="8"/>
      <c r="O41" s="8"/>
      <c r="R41" s="30" t="s">
        <v>102</v>
      </c>
      <c r="S41" s="31">
        <v>77.085499999999996</v>
      </c>
      <c r="T41"/>
      <c r="U41" s="30" t="s">
        <v>96</v>
      </c>
      <c r="V41" s="31">
        <v>110.77849999999999</v>
      </c>
      <c r="X41"/>
      <c r="Y41"/>
      <c r="Z41"/>
      <c r="AA41" s="86" t="s">
        <v>318</v>
      </c>
      <c r="AB41" s="31">
        <v>99.226833333333332</v>
      </c>
      <c r="AC41" s="31">
        <v>17.5</v>
      </c>
      <c r="AD41" s="31">
        <v>30</v>
      </c>
      <c r="AE41" s="31">
        <v>51.726833333333332</v>
      </c>
    </row>
    <row r="42" spans="2:31" x14ac:dyDescent="0.2">
      <c r="B42" s="2" t="s">
        <v>170</v>
      </c>
      <c r="C42" s="2" t="s">
        <v>73</v>
      </c>
      <c r="D42" s="2" t="s">
        <v>115</v>
      </c>
      <c r="E42" s="2" t="s">
        <v>317</v>
      </c>
      <c r="F42" s="2" t="s">
        <v>318</v>
      </c>
      <c r="G42" s="2" t="str">
        <f t="shared" si="0"/>
        <v>Offshore</v>
      </c>
      <c r="H42" s="2" t="s">
        <v>323</v>
      </c>
      <c r="I42" s="8">
        <v>94.43</v>
      </c>
      <c r="J42" s="8">
        <f t="shared" si="1"/>
        <v>96.790750000000003</v>
      </c>
      <c r="K42" s="8">
        <f t="shared" si="4"/>
        <v>17.5</v>
      </c>
      <c r="L42" s="8">
        <f t="shared" si="2"/>
        <v>30</v>
      </c>
      <c r="M42" s="8">
        <f t="shared" si="3"/>
        <v>49.290750000000003</v>
      </c>
      <c r="N42" s="8"/>
      <c r="O42" s="8"/>
      <c r="R42" s="30" t="s">
        <v>103</v>
      </c>
      <c r="S42" s="31">
        <v>75.349799999999988</v>
      </c>
      <c r="T42"/>
      <c r="U42" s="30" t="s">
        <v>97</v>
      </c>
      <c r="V42" s="31">
        <v>110.77849999999999</v>
      </c>
      <c r="X42"/>
      <c r="AA42" s="71" t="s">
        <v>322</v>
      </c>
      <c r="AB42" s="31">
        <v>102.14125000000001</v>
      </c>
      <c r="AC42" s="31">
        <v>17.5</v>
      </c>
      <c r="AD42" s="31">
        <v>30</v>
      </c>
      <c r="AE42" s="31">
        <v>54.641249999999999</v>
      </c>
    </row>
    <row r="43" spans="2:31" x14ac:dyDescent="0.2">
      <c r="B43" s="2" t="s">
        <v>170</v>
      </c>
      <c r="C43" s="2" t="s">
        <v>73</v>
      </c>
      <c r="D43" s="2" t="s">
        <v>116</v>
      </c>
      <c r="E43" s="2" t="s">
        <v>317</v>
      </c>
      <c r="F43" s="2" t="s">
        <v>318</v>
      </c>
      <c r="G43" s="2" t="str">
        <f t="shared" si="0"/>
        <v>Offshore</v>
      </c>
      <c r="H43" s="2" t="s">
        <v>323</v>
      </c>
      <c r="I43" s="8">
        <v>94.03</v>
      </c>
      <c r="J43" s="8">
        <f t="shared" si="1"/>
        <v>96.380749999999992</v>
      </c>
      <c r="K43" s="8">
        <f t="shared" si="4"/>
        <v>17.5</v>
      </c>
      <c r="L43" s="8">
        <f t="shared" si="2"/>
        <v>30</v>
      </c>
      <c r="M43" s="8">
        <f t="shared" si="3"/>
        <v>48.880749999999992</v>
      </c>
      <c r="N43" s="8"/>
      <c r="O43" s="8"/>
      <c r="R43" s="30" t="s">
        <v>125</v>
      </c>
      <c r="S43" s="31">
        <v>73.920400000000001</v>
      </c>
      <c r="U43" s="30" t="s">
        <v>98</v>
      </c>
      <c r="V43" s="31">
        <v>110.6764</v>
      </c>
      <c r="X43"/>
      <c r="AA43" s="85" t="s">
        <v>319</v>
      </c>
      <c r="AB43" s="31">
        <v>86.365035714285696</v>
      </c>
      <c r="AC43" s="31">
        <v>17.5</v>
      </c>
      <c r="AD43" s="31">
        <v>30</v>
      </c>
      <c r="AE43" s="31">
        <v>38.865035714285703</v>
      </c>
    </row>
    <row r="44" spans="2:31" x14ac:dyDescent="0.2">
      <c r="B44" s="2" t="s">
        <v>170</v>
      </c>
      <c r="C44" s="2" t="s">
        <v>73</v>
      </c>
      <c r="D44" s="2" t="s">
        <v>117</v>
      </c>
      <c r="E44" s="2" t="s">
        <v>317</v>
      </c>
      <c r="F44" s="2" t="s">
        <v>318</v>
      </c>
      <c r="G44" s="2" t="str">
        <f t="shared" si="0"/>
        <v>Offshore</v>
      </c>
      <c r="H44" s="2" t="s">
        <v>323</v>
      </c>
      <c r="I44" s="8">
        <v>93.5</v>
      </c>
      <c r="J44" s="8">
        <f t="shared" si="1"/>
        <v>95.837499999999991</v>
      </c>
      <c r="K44" s="8">
        <f t="shared" si="4"/>
        <v>17.5</v>
      </c>
      <c r="L44" s="8">
        <f t="shared" si="2"/>
        <v>30</v>
      </c>
      <c r="M44" s="8">
        <f t="shared" si="3"/>
        <v>48.337499999999991</v>
      </c>
      <c r="N44" s="8"/>
      <c r="O44" s="8"/>
      <c r="R44" s="30" t="s">
        <v>107</v>
      </c>
      <c r="S44" s="31">
        <v>73.001499999999993</v>
      </c>
      <c r="U44" s="30" t="s">
        <v>99</v>
      </c>
      <c r="V44" s="31">
        <v>110.47219999999999</v>
      </c>
      <c r="X44"/>
      <c r="AA44" s="86" t="s">
        <v>318</v>
      </c>
      <c r="AB44" s="31">
        <v>86.365035714285696</v>
      </c>
      <c r="AC44" s="31">
        <v>17.5</v>
      </c>
      <c r="AD44" s="31">
        <v>30</v>
      </c>
      <c r="AE44" s="31">
        <v>38.865035714285703</v>
      </c>
    </row>
    <row r="45" spans="2:31" x14ac:dyDescent="0.2">
      <c r="B45" s="2" t="s">
        <v>170</v>
      </c>
      <c r="C45" s="2" t="s">
        <v>73</v>
      </c>
      <c r="D45" s="2" t="s">
        <v>118</v>
      </c>
      <c r="E45" s="2" t="s">
        <v>317</v>
      </c>
      <c r="F45" s="2" t="s">
        <v>318</v>
      </c>
      <c r="G45" s="2" t="str">
        <f t="shared" si="0"/>
        <v>Offshore</v>
      </c>
      <c r="H45" s="2" t="s">
        <v>323</v>
      </c>
      <c r="I45" s="8">
        <v>92.81</v>
      </c>
      <c r="J45" s="8">
        <f t="shared" si="1"/>
        <v>95.13024999999999</v>
      </c>
      <c r="K45" s="8">
        <f t="shared" si="4"/>
        <v>17.5</v>
      </c>
      <c r="L45" s="8">
        <f t="shared" si="2"/>
        <v>30</v>
      </c>
      <c r="M45" s="8">
        <f t="shared" si="3"/>
        <v>47.63024999999999</v>
      </c>
      <c r="N45" s="8"/>
      <c r="O45" s="8"/>
      <c r="R45" s="30" t="s">
        <v>106</v>
      </c>
      <c r="S45" s="31">
        <v>72.797299999999993</v>
      </c>
      <c r="U45" s="30" t="s">
        <v>100</v>
      </c>
      <c r="V45" s="31">
        <v>110.37009999999998</v>
      </c>
      <c r="X45"/>
      <c r="AA45" s="85" t="s">
        <v>317</v>
      </c>
      <c r="AB45" s="31">
        <v>109.04334375000001</v>
      </c>
      <c r="AC45" s="31">
        <v>17.5</v>
      </c>
      <c r="AD45" s="31">
        <v>30</v>
      </c>
      <c r="AE45" s="31">
        <v>61.543343749999984</v>
      </c>
    </row>
    <row r="46" spans="2:31" x14ac:dyDescent="0.2">
      <c r="B46" s="2" t="s">
        <v>170</v>
      </c>
      <c r="C46" s="2" t="s">
        <v>73</v>
      </c>
      <c r="D46" s="2" t="s">
        <v>119</v>
      </c>
      <c r="E46" s="2" t="s">
        <v>319</v>
      </c>
      <c r="F46" s="2" t="s">
        <v>318</v>
      </c>
      <c r="G46" s="2" t="str">
        <f t="shared" si="0"/>
        <v>Offshore</v>
      </c>
      <c r="H46" s="2" t="s">
        <v>322</v>
      </c>
      <c r="I46" s="8">
        <v>91.2</v>
      </c>
      <c r="J46" s="8">
        <f t="shared" si="1"/>
        <v>93.47999999999999</v>
      </c>
      <c r="K46" s="8">
        <f t="shared" si="4"/>
        <v>17.5</v>
      </c>
      <c r="L46" s="8">
        <f t="shared" si="2"/>
        <v>30</v>
      </c>
      <c r="M46" s="8">
        <f t="shared" si="3"/>
        <v>45.97999999999999</v>
      </c>
      <c r="N46" s="8"/>
      <c r="O46" s="8"/>
      <c r="R46" s="30" t="s">
        <v>105</v>
      </c>
      <c r="S46" s="31">
        <v>72.593099999999993</v>
      </c>
      <c r="U46" s="30" t="s">
        <v>101</v>
      </c>
      <c r="V46" s="31">
        <v>109.14489999999999</v>
      </c>
      <c r="X46"/>
      <c r="AA46" s="86" t="s">
        <v>320</v>
      </c>
      <c r="AB46" s="31">
        <v>111.16352777777777</v>
      </c>
      <c r="AC46" s="31">
        <v>17.5</v>
      </c>
      <c r="AD46" s="31">
        <v>30</v>
      </c>
      <c r="AE46" s="31">
        <v>63.663527777777773</v>
      </c>
    </row>
    <row r="47" spans="2:31" x14ac:dyDescent="0.2">
      <c r="B47" s="2" t="s">
        <v>170</v>
      </c>
      <c r="C47" s="2" t="s">
        <v>73</v>
      </c>
      <c r="D47" s="2" t="s">
        <v>120</v>
      </c>
      <c r="E47" s="2" t="s">
        <v>319</v>
      </c>
      <c r="F47" s="2" t="s">
        <v>318</v>
      </c>
      <c r="G47" s="2" t="str">
        <f t="shared" si="0"/>
        <v>Offshore</v>
      </c>
      <c r="H47" s="2" t="s">
        <v>322</v>
      </c>
      <c r="I47" s="8">
        <v>90.35</v>
      </c>
      <c r="J47" s="8">
        <f t="shared" si="1"/>
        <v>92.608749999999986</v>
      </c>
      <c r="K47" s="8">
        <f t="shared" si="4"/>
        <v>17.5</v>
      </c>
      <c r="L47" s="8">
        <f t="shared" si="2"/>
        <v>30</v>
      </c>
      <c r="M47" s="8">
        <f t="shared" si="3"/>
        <v>45.108749999999986</v>
      </c>
      <c r="N47" s="8"/>
      <c r="O47" s="8"/>
      <c r="R47" s="30" t="s">
        <v>109</v>
      </c>
      <c r="S47" s="31">
        <v>71.674199999999999</v>
      </c>
      <c r="U47" s="30" t="s">
        <v>102</v>
      </c>
      <c r="V47" s="31">
        <v>107.00079999999998</v>
      </c>
      <c r="X47"/>
      <c r="AA47" s="86" t="s">
        <v>318</v>
      </c>
      <c r="AB47" s="31">
        <v>106.31739285714285</v>
      </c>
      <c r="AC47" s="31">
        <v>17.5</v>
      </c>
      <c r="AD47" s="31">
        <v>30</v>
      </c>
      <c r="AE47" s="31">
        <v>58.817392857142849</v>
      </c>
    </row>
    <row r="48" spans="2:31" x14ac:dyDescent="0.2">
      <c r="B48" s="2" t="s">
        <v>170</v>
      </c>
      <c r="C48" s="2" t="s">
        <v>73</v>
      </c>
      <c r="D48" s="2" t="s">
        <v>121</v>
      </c>
      <c r="E48" s="2" t="s">
        <v>319</v>
      </c>
      <c r="F48" s="2" t="s">
        <v>318</v>
      </c>
      <c r="G48" s="2" t="str">
        <f t="shared" si="0"/>
        <v>Offshore</v>
      </c>
      <c r="H48" s="2" t="s">
        <v>322</v>
      </c>
      <c r="I48" s="8">
        <v>87</v>
      </c>
      <c r="J48" s="8">
        <f t="shared" si="1"/>
        <v>89.174999999999997</v>
      </c>
      <c r="K48" s="8">
        <f t="shared" si="4"/>
        <v>17.5</v>
      </c>
      <c r="L48" s="8">
        <f t="shared" si="2"/>
        <v>30</v>
      </c>
      <c r="M48" s="8">
        <f t="shared" si="3"/>
        <v>41.674999999999997</v>
      </c>
      <c r="N48" s="8"/>
      <c r="O48" s="8"/>
      <c r="R48" s="30" t="s">
        <v>104</v>
      </c>
      <c r="S48" s="31">
        <v>71.674199999999999</v>
      </c>
      <c r="U48" s="30" t="s">
        <v>103</v>
      </c>
      <c r="V48" s="31">
        <v>105.46929999999999</v>
      </c>
      <c r="X48"/>
      <c r="AA48" s="30" t="s">
        <v>172</v>
      </c>
      <c r="AB48" s="31">
        <v>86.95108423913041</v>
      </c>
      <c r="AC48" s="31">
        <v>16.277173913043477</v>
      </c>
      <c r="AD48" s="31">
        <v>27.880434782608695</v>
      </c>
      <c r="AE48" s="31">
        <v>42.793475543478252</v>
      </c>
    </row>
    <row r="49" spans="2:31" x14ac:dyDescent="0.2">
      <c r="B49" s="2" t="s">
        <v>170</v>
      </c>
      <c r="C49" s="2" t="s">
        <v>73</v>
      </c>
      <c r="D49" s="2" t="s">
        <v>122</v>
      </c>
      <c r="E49" s="2" t="s">
        <v>319</v>
      </c>
      <c r="F49" s="2" t="s">
        <v>318</v>
      </c>
      <c r="G49" s="2" t="str">
        <f t="shared" si="0"/>
        <v>Offshore</v>
      </c>
      <c r="H49" s="2" t="s">
        <v>322</v>
      </c>
      <c r="I49" s="8">
        <v>81.7</v>
      </c>
      <c r="J49" s="8">
        <f t="shared" si="1"/>
        <v>83.742499999999993</v>
      </c>
      <c r="K49" s="8">
        <f t="shared" si="4"/>
        <v>17.5</v>
      </c>
      <c r="L49" s="8">
        <f t="shared" si="2"/>
        <v>30</v>
      </c>
      <c r="M49" s="8">
        <f t="shared" si="3"/>
        <v>36.242499999999993</v>
      </c>
      <c r="N49" s="8"/>
      <c r="O49" s="8"/>
      <c r="R49" s="30" t="s">
        <v>126</v>
      </c>
      <c r="S49" s="31">
        <v>71.674199999999999</v>
      </c>
      <c r="U49" s="30" t="s">
        <v>104</v>
      </c>
      <c r="V49" s="31">
        <v>104.85669999999999</v>
      </c>
      <c r="X49"/>
      <c r="AA49"/>
      <c r="AB49"/>
      <c r="AC49"/>
      <c r="AD49"/>
      <c r="AE49"/>
    </row>
    <row r="50" spans="2:31" x14ac:dyDescent="0.2">
      <c r="B50" s="2" t="s">
        <v>170</v>
      </c>
      <c r="C50" s="2" t="s">
        <v>73</v>
      </c>
      <c r="D50" s="2" t="s">
        <v>123</v>
      </c>
      <c r="E50" s="2" t="s">
        <v>319</v>
      </c>
      <c r="F50" s="2" t="s">
        <v>318</v>
      </c>
      <c r="G50" s="2" t="str">
        <f t="shared" si="0"/>
        <v>Offshore</v>
      </c>
      <c r="H50" s="2" t="s">
        <v>322</v>
      </c>
      <c r="I50" s="8">
        <v>81.11</v>
      </c>
      <c r="J50" s="8">
        <f t="shared" si="1"/>
        <v>83.137749999999997</v>
      </c>
      <c r="K50" s="8">
        <f t="shared" si="4"/>
        <v>17.5</v>
      </c>
      <c r="L50" s="8">
        <f t="shared" si="2"/>
        <v>30</v>
      </c>
      <c r="M50" s="8">
        <f t="shared" si="3"/>
        <v>35.637749999999997</v>
      </c>
      <c r="N50" s="8"/>
      <c r="O50" s="8"/>
      <c r="R50" s="30" t="s">
        <v>110</v>
      </c>
      <c r="S50" s="31">
        <v>71.265799999999984</v>
      </c>
      <c r="U50" s="30" t="s">
        <v>106</v>
      </c>
      <c r="V50" s="31">
        <v>101.79369999999999</v>
      </c>
      <c r="X50"/>
      <c r="AA50"/>
      <c r="AB50"/>
      <c r="AC50"/>
      <c r="AD50"/>
      <c r="AE50"/>
    </row>
    <row r="51" spans="2:31" x14ac:dyDescent="0.2">
      <c r="B51" s="2" t="s">
        <v>170</v>
      </c>
      <c r="C51" s="2" t="s">
        <v>73</v>
      </c>
      <c r="D51" s="2" t="s">
        <v>124</v>
      </c>
      <c r="E51" s="2" t="s">
        <v>319</v>
      </c>
      <c r="F51" s="2" t="s">
        <v>318</v>
      </c>
      <c r="G51" s="2" t="str">
        <f t="shared" si="0"/>
        <v>Offshore</v>
      </c>
      <c r="H51" s="2" t="s">
        <v>322</v>
      </c>
      <c r="I51" s="8">
        <v>80.53</v>
      </c>
      <c r="J51" s="8">
        <f t="shared" si="1"/>
        <v>82.54325</v>
      </c>
      <c r="K51" s="8">
        <f t="shared" si="4"/>
        <v>17.5</v>
      </c>
      <c r="L51" s="8">
        <f t="shared" si="2"/>
        <v>30</v>
      </c>
      <c r="M51" s="8">
        <f t="shared" si="3"/>
        <v>35.04325</v>
      </c>
      <c r="N51" s="8"/>
      <c r="O51" s="8"/>
      <c r="R51" s="30" t="s">
        <v>112</v>
      </c>
      <c r="S51" s="31">
        <v>70.857399999999998</v>
      </c>
      <c r="U51" s="30" t="s">
        <v>105</v>
      </c>
      <c r="V51" s="31">
        <v>101.79369999999999</v>
      </c>
      <c r="X51"/>
      <c r="AA51"/>
      <c r="AB51"/>
      <c r="AC51"/>
      <c r="AD51"/>
      <c r="AE51"/>
    </row>
    <row r="52" spans="2:31" x14ac:dyDescent="0.2">
      <c r="B52" s="2" t="s">
        <v>170</v>
      </c>
      <c r="C52" s="2" t="s">
        <v>73</v>
      </c>
      <c r="D52" s="2" t="s">
        <v>125</v>
      </c>
      <c r="E52" s="2" t="s">
        <v>319</v>
      </c>
      <c r="F52" s="2" t="s">
        <v>318</v>
      </c>
      <c r="G52" s="2" t="str">
        <f t="shared" si="0"/>
        <v>Offshore</v>
      </c>
      <c r="H52" s="2" t="s">
        <v>322</v>
      </c>
      <c r="I52" s="8">
        <v>77.92</v>
      </c>
      <c r="J52" s="8">
        <f t="shared" si="1"/>
        <v>79.867999999999995</v>
      </c>
      <c r="K52" s="8">
        <f t="shared" si="4"/>
        <v>17.5</v>
      </c>
      <c r="L52" s="8">
        <f t="shared" si="2"/>
        <v>30</v>
      </c>
      <c r="M52" s="8">
        <f t="shared" si="3"/>
        <v>32.367999999999995</v>
      </c>
      <c r="N52" s="8"/>
      <c r="O52" s="8"/>
      <c r="R52" s="30" t="s">
        <v>113</v>
      </c>
      <c r="S52" s="31">
        <v>70.551099999999991</v>
      </c>
      <c r="U52" s="30" t="s">
        <v>107</v>
      </c>
      <c r="V52" s="31">
        <v>101.69159999999998</v>
      </c>
      <c r="X52"/>
      <c r="AA52"/>
      <c r="AB52"/>
      <c r="AC52"/>
      <c r="AD52"/>
      <c r="AE52"/>
    </row>
    <row r="53" spans="2:31" x14ac:dyDescent="0.2">
      <c r="B53" s="2" t="s">
        <v>169</v>
      </c>
      <c r="C53" s="2" t="s">
        <v>73</v>
      </c>
      <c r="D53" s="2" t="s">
        <v>88</v>
      </c>
      <c r="E53" s="2" t="s">
        <v>317</v>
      </c>
      <c r="F53" s="2" t="s">
        <v>318</v>
      </c>
      <c r="G53" s="2" t="str">
        <f t="shared" si="0"/>
        <v>Offshore</v>
      </c>
      <c r="H53" s="2" t="s">
        <v>322</v>
      </c>
      <c r="I53" s="8">
        <v>114.01</v>
      </c>
      <c r="J53" s="8">
        <f t="shared" ref="J53:J98" si="5">I53*$W$5</f>
        <v>116.86024999999999</v>
      </c>
      <c r="K53" s="8">
        <f t="shared" si="4"/>
        <v>17.5</v>
      </c>
      <c r="L53" s="8">
        <f t="shared" si="2"/>
        <v>30</v>
      </c>
      <c r="M53" s="8">
        <f t="shared" si="3"/>
        <v>69.360249999999994</v>
      </c>
      <c r="N53" s="8"/>
      <c r="O53" s="8"/>
      <c r="R53" s="30" t="s">
        <v>111</v>
      </c>
      <c r="S53" s="31">
        <v>69.836399999999998</v>
      </c>
      <c r="U53" s="30" t="s">
        <v>108</v>
      </c>
      <c r="V53" s="31">
        <v>101.07899999999999</v>
      </c>
      <c r="X53"/>
      <c r="AA53"/>
      <c r="AB53"/>
      <c r="AC53"/>
      <c r="AD53"/>
      <c r="AE53"/>
    </row>
    <row r="54" spans="2:31" x14ac:dyDescent="0.2">
      <c r="B54" s="2" t="s">
        <v>169</v>
      </c>
      <c r="C54" s="2" t="s">
        <v>73</v>
      </c>
      <c r="D54" s="2" t="s">
        <v>121</v>
      </c>
      <c r="E54" s="2" t="s">
        <v>143</v>
      </c>
      <c r="F54" s="2" t="s">
        <v>318</v>
      </c>
      <c r="G54" s="2" t="str">
        <f t="shared" si="0"/>
        <v>Offshore</v>
      </c>
      <c r="H54" s="2" t="s">
        <v>322</v>
      </c>
      <c r="I54" s="8">
        <v>85.47</v>
      </c>
      <c r="J54" s="8">
        <f t="shared" si="5"/>
        <v>87.606749999999991</v>
      </c>
      <c r="K54" s="8">
        <f t="shared" si="4"/>
        <v>15</v>
      </c>
      <c r="L54" s="8">
        <f t="shared" si="2"/>
        <v>30</v>
      </c>
      <c r="M54" s="8">
        <f t="shared" si="3"/>
        <v>42.606749999999991</v>
      </c>
      <c r="N54" s="8"/>
      <c r="O54" s="8"/>
      <c r="R54" s="30" t="s">
        <v>115</v>
      </c>
      <c r="S54" s="31">
        <v>69.632199999999997</v>
      </c>
      <c r="U54" s="30" t="s">
        <v>109</v>
      </c>
      <c r="V54" s="31">
        <v>100.67059999999998</v>
      </c>
      <c r="X54"/>
      <c r="AA54"/>
      <c r="AB54"/>
      <c r="AC54"/>
      <c r="AD54"/>
      <c r="AE54"/>
    </row>
    <row r="55" spans="2:31" x14ac:dyDescent="0.2">
      <c r="B55" s="2" t="s">
        <v>169</v>
      </c>
      <c r="C55" s="2" t="s">
        <v>73</v>
      </c>
      <c r="D55" s="2" t="s">
        <v>95</v>
      </c>
      <c r="E55" s="2" t="s">
        <v>143</v>
      </c>
      <c r="F55" s="2" t="s">
        <v>318</v>
      </c>
      <c r="G55" s="2" t="str">
        <f t="shared" si="0"/>
        <v>Offshore</v>
      </c>
      <c r="H55" s="2" t="s">
        <v>322</v>
      </c>
      <c r="I55" s="8">
        <v>83.9</v>
      </c>
      <c r="J55" s="8">
        <f t="shared" si="5"/>
        <v>85.997500000000002</v>
      </c>
      <c r="K55" s="8">
        <f t="shared" si="4"/>
        <v>15</v>
      </c>
      <c r="L55" s="8">
        <f t="shared" si="2"/>
        <v>30</v>
      </c>
      <c r="M55" s="8">
        <f t="shared" si="3"/>
        <v>40.997500000000002</v>
      </c>
      <c r="N55" s="8"/>
      <c r="O55" s="8"/>
      <c r="R55" s="30" t="s">
        <v>114</v>
      </c>
      <c r="S55" s="31">
        <v>69.53009999999999</v>
      </c>
      <c r="U55" s="30" t="s">
        <v>126</v>
      </c>
      <c r="V55" s="31">
        <v>100.46639999999999</v>
      </c>
      <c r="X55"/>
      <c r="AA55"/>
      <c r="AB55"/>
      <c r="AC55"/>
      <c r="AD55"/>
      <c r="AE55"/>
    </row>
    <row r="56" spans="2:31" x14ac:dyDescent="0.2">
      <c r="B56" s="2" t="s">
        <v>169</v>
      </c>
      <c r="C56" s="2" t="s">
        <v>73</v>
      </c>
      <c r="D56" s="2" t="s">
        <v>99</v>
      </c>
      <c r="E56" s="2" t="s">
        <v>143</v>
      </c>
      <c r="F56" s="2" t="s">
        <v>318</v>
      </c>
      <c r="G56" s="2" t="str">
        <f t="shared" si="0"/>
        <v>Offshore</v>
      </c>
      <c r="H56" s="2" t="s">
        <v>322</v>
      </c>
      <c r="I56" s="8">
        <v>83.9</v>
      </c>
      <c r="J56" s="8">
        <f t="shared" si="5"/>
        <v>85.997500000000002</v>
      </c>
      <c r="K56" s="8">
        <f t="shared" si="4"/>
        <v>15</v>
      </c>
      <c r="L56" s="8">
        <f t="shared" si="2"/>
        <v>30</v>
      </c>
      <c r="M56" s="8">
        <f t="shared" si="3"/>
        <v>40.997500000000002</v>
      </c>
      <c r="N56" s="8"/>
      <c r="O56" s="8"/>
      <c r="R56" s="30" t="s">
        <v>116</v>
      </c>
      <c r="S56" s="31">
        <v>68.304900000000004</v>
      </c>
      <c r="U56" s="30" t="s">
        <v>110</v>
      </c>
      <c r="V56" s="31">
        <v>99.241199999999992</v>
      </c>
      <c r="X56"/>
      <c r="AA56"/>
      <c r="AB56"/>
      <c r="AC56"/>
      <c r="AD56"/>
      <c r="AE56"/>
    </row>
    <row r="57" spans="2:31" x14ac:dyDescent="0.2">
      <c r="B57" s="2" t="s">
        <v>169</v>
      </c>
      <c r="C57" s="2" t="s">
        <v>73</v>
      </c>
      <c r="D57" s="2" t="s">
        <v>91</v>
      </c>
      <c r="E57" s="2" t="s">
        <v>143</v>
      </c>
      <c r="F57" s="2" t="s">
        <v>318</v>
      </c>
      <c r="G57" s="2" t="str">
        <f t="shared" si="0"/>
        <v>Offshore</v>
      </c>
      <c r="H57" s="2" t="s">
        <v>322</v>
      </c>
      <c r="I57" s="8">
        <v>83.68</v>
      </c>
      <c r="J57" s="8">
        <f t="shared" si="5"/>
        <v>85.772000000000006</v>
      </c>
      <c r="K57" s="8">
        <f t="shared" si="4"/>
        <v>15</v>
      </c>
      <c r="L57" s="8">
        <f t="shared" si="2"/>
        <v>30</v>
      </c>
      <c r="M57" s="8">
        <f t="shared" si="3"/>
        <v>40.772000000000006</v>
      </c>
      <c r="N57" s="8"/>
      <c r="O57" s="8"/>
      <c r="R57" s="30" t="s">
        <v>117</v>
      </c>
      <c r="S57" s="31">
        <v>67.488099999999989</v>
      </c>
      <c r="U57" s="30" t="s">
        <v>111</v>
      </c>
      <c r="V57" s="31">
        <v>98.526499999999984</v>
      </c>
      <c r="X57"/>
      <c r="AA57"/>
      <c r="AB57"/>
      <c r="AC57"/>
      <c r="AD57"/>
      <c r="AE57"/>
    </row>
    <row r="58" spans="2:31" x14ac:dyDescent="0.2">
      <c r="B58" s="2" t="s">
        <v>169</v>
      </c>
      <c r="C58" s="2" t="s">
        <v>73</v>
      </c>
      <c r="D58" s="2" t="s">
        <v>98</v>
      </c>
      <c r="E58" s="2" t="s">
        <v>143</v>
      </c>
      <c r="F58" s="2" t="s">
        <v>318</v>
      </c>
      <c r="G58" s="2" t="str">
        <f t="shared" si="0"/>
        <v>Offshore</v>
      </c>
      <c r="H58" s="2" t="s">
        <v>322</v>
      </c>
      <c r="I58" s="8">
        <v>82.78</v>
      </c>
      <c r="J58" s="8">
        <f t="shared" si="5"/>
        <v>84.849499999999992</v>
      </c>
      <c r="K58" s="8">
        <f t="shared" si="4"/>
        <v>15</v>
      </c>
      <c r="L58" s="8">
        <f t="shared" si="2"/>
        <v>30</v>
      </c>
      <c r="M58" s="8">
        <f t="shared" si="3"/>
        <v>39.849499999999992</v>
      </c>
      <c r="N58" s="8"/>
      <c r="O58" s="8"/>
      <c r="R58" s="30" t="s">
        <v>118</v>
      </c>
      <c r="S58" s="31">
        <v>63.199899999999992</v>
      </c>
      <c r="U58" s="30" t="s">
        <v>112</v>
      </c>
      <c r="V58" s="31">
        <v>98.118099999999984</v>
      </c>
      <c r="X58"/>
      <c r="AA58"/>
      <c r="AB58"/>
      <c r="AC58"/>
      <c r="AD58"/>
      <c r="AE58"/>
    </row>
    <row r="59" spans="2:31" x14ac:dyDescent="0.2">
      <c r="B59" s="2" t="s">
        <v>169</v>
      </c>
      <c r="C59" s="2" t="s">
        <v>73</v>
      </c>
      <c r="D59" s="2" t="s">
        <v>94</v>
      </c>
      <c r="E59" s="2" t="s">
        <v>143</v>
      </c>
      <c r="F59" s="2" t="s">
        <v>318</v>
      </c>
      <c r="G59" s="2" t="str">
        <f t="shared" si="0"/>
        <v>Offshore</v>
      </c>
      <c r="H59" s="2" t="s">
        <v>322</v>
      </c>
      <c r="I59" s="8">
        <v>82.7</v>
      </c>
      <c r="J59" s="8">
        <f t="shared" si="5"/>
        <v>84.767499999999998</v>
      </c>
      <c r="K59" s="8">
        <f t="shared" si="4"/>
        <v>15</v>
      </c>
      <c r="L59" s="8">
        <f t="shared" si="2"/>
        <v>30</v>
      </c>
      <c r="M59" s="8">
        <f t="shared" si="3"/>
        <v>39.767499999999998</v>
      </c>
      <c r="N59" s="8"/>
      <c r="O59" s="8"/>
      <c r="R59" s="30" t="s">
        <v>90</v>
      </c>
      <c r="S59" s="31">
        <v>60.54529999999999</v>
      </c>
      <c r="U59" s="30" t="s">
        <v>113</v>
      </c>
      <c r="V59" s="31">
        <v>97.19919999999999</v>
      </c>
      <c r="X59"/>
      <c r="AA59"/>
      <c r="AB59"/>
      <c r="AC59"/>
      <c r="AD59"/>
      <c r="AE59"/>
    </row>
    <row r="60" spans="2:31" x14ac:dyDescent="0.2">
      <c r="B60" s="2" t="s">
        <v>169</v>
      </c>
      <c r="C60" s="2" t="s">
        <v>73</v>
      </c>
      <c r="D60" s="2" t="s">
        <v>96</v>
      </c>
      <c r="E60" s="2" t="s">
        <v>143</v>
      </c>
      <c r="F60" s="2" t="s">
        <v>318</v>
      </c>
      <c r="G60" s="2" t="str">
        <f t="shared" si="0"/>
        <v>Offshore</v>
      </c>
      <c r="H60" s="2" t="s">
        <v>322</v>
      </c>
      <c r="I60" s="8">
        <v>82.7</v>
      </c>
      <c r="J60" s="8">
        <f t="shared" si="5"/>
        <v>84.767499999999998</v>
      </c>
      <c r="K60" s="8">
        <f t="shared" si="4"/>
        <v>15</v>
      </c>
      <c r="L60" s="8">
        <f t="shared" si="2"/>
        <v>30</v>
      </c>
      <c r="M60" s="8">
        <f t="shared" si="3"/>
        <v>39.767499999999998</v>
      </c>
      <c r="N60" s="8"/>
      <c r="O60" s="8"/>
      <c r="R60" s="30" t="s">
        <v>82</v>
      </c>
      <c r="S60" s="31">
        <v>49.926899999999996</v>
      </c>
      <c r="U60" s="30" t="s">
        <v>114</v>
      </c>
      <c r="V60" s="31">
        <v>96.79079999999999</v>
      </c>
      <c r="X60"/>
      <c r="AA60"/>
      <c r="AB60"/>
      <c r="AC60"/>
      <c r="AD60"/>
      <c r="AE60"/>
    </row>
    <row r="61" spans="2:31" x14ac:dyDescent="0.2">
      <c r="B61" s="2" t="s">
        <v>169</v>
      </c>
      <c r="C61" s="2" t="s">
        <v>73</v>
      </c>
      <c r="D61" s="2" t="s">
        <v>97</v>
      </c>
      <c r="E61" s="2" t="s">
        <v>143</v>
      </c>
      <c r="F61" s="2" t="s">
        <v>318</v>
      </c>
      <c r="G61" s="2" t="str">
        <f t="shared" si="0"/>
        <v>Offshore</v>
      </c>
      <c r="H61" s="2" t="s">
        <v>322</v>
      </c>
      <c r="I61" s="8">
        <v>82.7</v>
      </c>
      <c r="J61" s="8">
        <f t="shared" si="5"/>
        <v>84.767499999999998</v>
      </c>
      <c r="K61" s="8">
        <f t="shared" si="4"/>
        <v>15</v>
      </c>
      <c r="L61" s="8">
        <f t="shared" si="2"/>
        <v>30</v>
      </c>
      <c r="M61" s="8">
        <f t="shared" si="3"/>
        <v>39.767499999999998</v>
      </c>
      <c r="N61" s="8"/>
      <c r="O61" s="8"/>
      <c r="R61" s="30" t="s">
        <v>101</v>
      </c>
      <c r="S61" s="31">
        <v>47.374399999999994</v>
      </c>
      <c r="U61" s="30" t="s">
        <v>115</v>
      </c>
      <c r="V61" s="31">
        <v>96.382400000000004</v>
      </c>
      <c r="X61"/>
      <c r="AA61"/>
      <c r="AB61"/>
      <c r="AC61"/>
      <c r="AD61"/>
      <c r="AE61"/>
    </row>
    <row r="62" spans="2:31" x14ac:dyDescent="0.2">
      <c r="B62" s="2" t="s">
        <v>169</v>
      </c>
      <c r="C62" s="2" t="s">
        <v>73</v>
      </c>
      <c r="D62" s="2" t="s">
        <v>100</v>
      </c>
      <c r="E62" s="2" t="s">
        <v>143</v>
      </c>
      <c r="F62" s="2" t="s">
        <v>318</v>
      </c>
      <c r="G62" s="2" t="str">
        <f t="shared" si="0"/>
        <v>Offshore</v>
      </c>
      <c r="H62" s="2" t="s">
        <v>322</v>
      </c>
      <c r="I62" s="8">
        <v>78.44</v>
      </c>
      <c r="J62" s="8">
        <f t="shared" si="5"/>
        <v>80.400999999999996</v>
      </c>
      <c r="K62" s="8">
        <f t="shared" si="4"/>
        <v>15</v>
      </c>
      <c r="L62" s="8">
        <f t="shared" si="2"/>
        <v>30</v>
      </c>
      <c r="M62" s="8">
        <f t="shared" si="3"/>
        <v>35.400999999999996</v>
      </c>
      <c r="N62" s="8"/>
      <c r="O62" s="8"/>
      <c r="R62" s="30" t="s">
        <v>84</v>
      </c>
      <c r="S62" s="31">
        <v>47.068099999999994</v>
      </c>
      <c r="U62" s="30" t="s">
        <v>116</v>
      </c>
      <c r="V62" s="31">
        <v>95.97399999999999</v>
      </c>
      <c r="X62"/>
      <c r="AA62"/>
      <c r="AB62"/>
      <c r="AC62"/>
      <c r="AD62"/>
      <c r="AE62"/>
    </row>
    <row r="63" spans="2:31" x14ac:dyDescent="0.2">
      <c r="B63" s="2" t="s">
        <v>169</v>
      </c>
      <c r="C63" s="2" t="s">
        <v>73</v>
      </c>
      <c r="D63" s="2" t="s">
        <v>122</v>
      </c>
      <c r="E63" s="2" t="s">
        <v>143</v>
      </c>
      <c r="F63" s="2" t="s">
        <v>318</v>
      </c>
      <c r="G63" s="2" t="str">
        <f t="shared" si="0"/>
        <v>Offshore</v>
      </c>
      <c r="H63" s="2" t="s">
        <v>322</v>
      </c>
      <c r="I63" s="8">
        <v>77.41</v>
      </c>
      <c r="J63" s="8">
        <f t="shared" si="5"/>
        <v>79.345249999999993</v>
      </c>
      <c r="K63" s="8">
        <f t="shared" si="4"/>
        <v>15</v>
      </c>
      <c r="L63" s="8">
        <f t="shared" si="2"/>
        <v>30</v>
      </c>
      <c r="M63" s="8">
        <f t="shared" si="3"/>
        <v>34.345249999999993</v>
      </c>
      <c r="N63" s="8"/>
      <c r="O63" s="8"/>
      <c r="R63" s="30" t="s">
        <v>89</v>
      </c>
      <c r="S63" s="31">
        <v>46.965999999999994</v>
      </c>
      <c r="U63" s="30" t="s">
        <v>117</v>
      </c>
      <c r="V63" s="31">
        <v>95.463499999999996</v>
      </c>
      <c r="X63"/>
      <c r="AA63"/>
      <c r="AB63"/>
      <c r="AC63"/>
      <c r="AD63"/>
      <c r="AE63"/>
    </row>
    <row r="64" spans="2:31" x14ac:dyDescent="0.2">
      <c r="B64" s="2" t="s">
        <v>169</v>
      </c>
      <c r="C64" s="2" t="s">
        <v>73</v>
      </c>
      <c r="D64" s="2" t="s">
        <v>123</v>
      </c>
      <c r="E64" s="2" t="s">
        <v>143</v>
      </c>
      <c r="F64" s="2" t="s">
        <v>318</v>
      </c>
      <c r="G64" s="2" t="str">
        <f t="shared" si="0"/>
        <v>Offshore</v>
      </c>
      <c r="H64" s="2" t="s">
        <v>322</v>
      </c>
      <c r="I64" s="8">
        <v>77.19</v>
      </c>
      <c r="J64" s="8">
        <f t="shared" si="5"/>
        <v>79.119749999999996</v>
      </c>
      <c r="K64" s="8">
        <f t="shared" si="4"/>
        <v>15</v>
      </c>
      <c r="L64" s="8">
        <f t="shared" si="2"/>
        <v>30</v>
      </c>
      <c r="M64" s="8">
        <f t="shared" si="3"/>
        <v>34.119749999999996</v>
      </c>
      <c r="N64" s="8"/>
      <c r="O64" s="8"/>
      <c r="R64" s="30" t="s">
        <v>83</v>
      </c>
      <c r="S64" s="31">
        <v>46.965999999999994</v>
      </c>
      <c r="U64" s="30" t="s">
        <v>118</v>
      </c>
      <c r="V64" s="31">
        <v>94.748799999999989</v>
      </c>
      <c r="X64"/>
      <c r="AA64"/>
      <c r="AB64"/>
      <c r="AC64"/>
      <c r="AD64"/>
      <c r="AE64"/>
    </row>
    <row r="65" spans="2:31" x14ac:dyDescent="0.2">
      <c r="B65" s="2" t="s">
        <v>169</v>
      </c>
      <c r="C65" s="2" t="s">
        <v>73</v>
      </c>
      <c r="D65" s="2" t="s">
        <v>119</v>
      </c>
      <c r="E65" s="2" t="s">
        <v>143</v>
      </c>
      <c r="F65" s="2" t="s">
        <v>320</v>
      </c>
      <c r="G65" s="2" t="str">
        <f t="shared" si="0"/>
        <v>Offshore</v>
      </c>
      <c r="H65" s="2" t="s">
        <v>322</v>
      </c>
      <c r="I65" s="8">
        <v>76.569999999999993</v>
      </c>
      <c r="J65" s="8">
        <f t="shared" si="5"/>
        <v>78.484249999999989</v>
      </c>
      <c r="K65" s="8">
        <f t="shared" si="4"/>
        <v>15</v>
      </c>
      <c r="L65" s="8">
        <f t="shared" si="2"/>
        <v>30</v>
      </c>
      <c r="M65" s="8">
        <f t="shared" si="3"/>
        <v>33.484249999999989</v>
      </c>
      <c r="N65" s="8"/>
      <c r="O65" s="8"/>
      <c r="R65" s="30" t="s">
        <v>86</v>
      </c>
      <c r="S65" s="31">
        <v>46.557600000000001</v>
      </c>
      <c r="U65" s="30" t="s">
        <v>119</v>
      </c>
      <c r="V65" s="31">
        <v>93.115200000000002</v>
      </c>
      <c r="X65"/>
      <c r="AA65"/>
      <c r="AB65"/>
      <c r="AC65"/>
      <c r="AD65"/>
      <c r="AE65"/>
    </row>
    <row r="66" spans="2:31" x14ac:dyDescent="0.2">
      <c r="B66" s="2" t="s">
        <v>169</v>
      </c>
      <c r="C66" s="2" t="s">
        <v>73</v>
      </c>
      <c r="D66" s="2" t="s">
        <v>124</v>
      </c>
      <c r="E66" s="2" t="s">
        <v>143</v>
      </c>
      <c r="F66" s="2" t="s">
        <v>318</v>
      </c>
      <c r="G66" s="2" t="str">
        <f t="shared" si="0"/>
        <v>Offshore</v>
      </c>
      <c r="H66" s="2" t="s">
        <v>322</v>
      </c>
      <c r="I66" s="8">
        <v>76.47</v>
      </c>
      <c r="J66" s="8">
        <f t="shared" si="5"/>
        <v>78.381749999999997</v>
      </c>
      <c r="K66" s="8">
        <f t="shared" si="4"/>
        <v>15</v>
      </c>
      <c r="L66" s="8">
        <f t="shared" si="2"/>
        <v>30</v>
      </c>
      <c r="M66" s="8">
        <f t="shared" si="3"/>
        <v>33.381749999999997</v>
      </c>
      <c r="N66" s="8"/>
      <c r="O66" s="8"/>
      <c r="R66" s="30" t="s">
        <v>87</v>
      </c>
      <c r="S66" s="31">
        <v>46.557600000000001</v>
      </c>
      <c r="U66" s="30" t="s">
        <v>120</v>
      </c>
      <c r="V66" s="31">
        <v>92.298400000000001</v>
      </c>
      <c r="X66"/>
      <c r="AA66"/>
      <c r="AB66"/>
      <c r="AC66"/>
      <c r="AD66"/>
      <c r="AE66"/>
    </row>
    <row r="67" spans="2:31" x14ac:dyDescent="0.2">
      <c r="B67" s="2" t="s">
        <v>169</v>
      </c>
      <c r="C67" s="2" t="s">
        <v>73</v>
      </c>
      <c r="D67" s="2" t="s">
        <v>120</v>
      </c>
      <c r="E67" s="2" t="s">
        <v>143</v>
      </c>
      <c r="F67" s="2" t="s">
        <v>320</v>
      </c>
      <c r="G67" s="2" t="str">
        <f t="shared" si="0"/>
        <v>Offshore</v>
      </c>
      <c r="H67" s="2" t="s">
        <v>322</v>
      </c>
      <c r="I67" s="8">
        <v>75.900000000000006</v>
      </c>
      <c r="J67" s="8">
        <f t="shared" si="5"/>
        <v>77.797499999999999</v>
      </c>
      <c r="K67" s="8">
        <f t="shared" si="4"/>
        <v>15</v>
      </c>
      <c r="L67" s="8">
        <f t="shared" si="2"/>
        <v>30</v>
      </c>
      <c r="M67" s="8">
        <f t="shared" si="3"/>
        <v>32.797499999999999</v>
      </c>
      <c r="N67" s="8"/>
      <c r="O67" s="8"/>
      <c r="R67" s="30" t="s">
        <v>85</v>
      </c>
      <c r="S67" s="31">
        <v>46.557600000000001</v>
      </c>
      <c r="U67" s="30" t="s">
        <v>121</v>
      </c>
      <c r="V67" s="31">
        <v>88.826999999999998</v>
      </c>
      <c r="X67"/>
      <c r="AA67"/>
      <c r="AB67"/>
      <c r="AC67"/>
      <c r="AD67"/>
      <c r="AE67"/>
    </row>
    <row r="68" spans="2:31" x14ac:dyDescent="0.2">
      <c r="B68" s="2" t="s">
        <v>169</v>
      </c>
      <c r="C68" s="2" t="s">
        <v>73</v>
      </c>
      <c r="D68" s="2" t="s">
        <v>102</v>
      </c>
      <c r="E68" s="2" t="s">
        <v>143</v>
      </c>
      <c r="F68" s="2" t="s">
        <v>318</v>
      </c>
      <c r="G68" s="2" t="str">
        <f t="shared" si="0"/>
        <v>Offshore</v>
      </c>
      <c r="H68" s="2" t="s">
        <v>322</v>
      </c>
      <c r="I68" s="8">
        <v>75.53</v>
      </c>
      <c r="J68" s="8">
        <f t="shared" si="5"/>
        <v>77.41825</v>
      </c>
      <c r="K68" s="8">
        <f t="shared" si="4"/>
        <v>15</v>
      </c>
      <c r="L68" s="8">
        <f t="shared" si="2"/>
        <v>30</v>
      </c>
      <c r="M68" s="8">
        <f t="shared" si="3"/>
        <v>32.41825</v>
      </c>
      <c r="N68" s="8"/>
      <c r="O68" s="8"/>
      <c r="R68" s="30" t="s">
        <v>92</v>
      </c>
      <c r="S68" s="31">
        <v>44.719799999999992</v>
      </c>
      <c r="U68" s="30" t="s">
        <v>122</v>
      </c>
      <c r="V68" s="31">
        <v>83.415700000000001</v>
      </c>
      <c r="X68"/>
      <c r="AA68"/>
      <c r="AB68"/>
      <c r="AC68"/>
      <c r="AD68"/>
      <c r="AE68"/>
    </row>
    <row r="69" spans="2:31" x14ac:dyDescent="0.2">
      <c r="B69" s="2" t="s">
        <v>169</v>
      </c>
      <c r="C69" s="2" t="s">
        <v>73</v>
      </c>
      <c r="D69" s="2" t="s">
        <v>103</v>
      </c>
      <c r="E69" s="2" t="s">
        <v>143</v>
      </c>
      <c r="F69" s="2" t="s">
        <v>318</v>
      </c>
      <c r="G69" s="2" t="str">
        <f t="shared" si="0"/>
        <v>Offshore</v>
      </c>
      <c r="H69" s="2" t="s">
        <v>322</v>
      </c>
      <c r="I69" s="8">
        <v>73.83</v>
      </c>
      <c r="J69" s="8">
        <f t="shared" si="5"/>
        <v>75.675749999999994</v>
      </c>
      <c r="K69" s="8">
        <f t="shared" si="4"/>
        <v>15</v>
      </c>
      <c r="L69" s="8">
        <f t="shared" si="2"/>
        <v>30</v>
      </c>
      <c r="M69" s="8">
        <f t="shared" si="3"/>
        <v>30.675749999999994</v>
      </c>
      <c r="N69" s="8"/>
      <c r="O69" s="8"/>
      <c r="R69" s="30" t="s">
        <v>93</v>
      </c>
      <c r="S69" s="31">
        <v>44.617699999999999</v>
      </c>
      <c r="U69" s="30" t="s">
        <v>123</v>
      </c>
      <c r="V69" s="31">
        <v>82.803099999999986</v>
      </c>
      <c r="X69"/>
      <c r="AA69"/>
      <c r="AB69"/>
      <c r="AC69"/>
      <c r="AD69"/>
      <c r="AE69"/>
    </row>
    <row r="70" spans="2:31" x14ac:dyDescent="0.2">
      <c r="B70" s="2" t="s">
        <v>169</v>
      </c>
      <c r="C70" s="2" t="s">
        <v>73</v>
      </c>
      <c r="D70" s="2" t="s">
        <v>125</v>
      </c>
      <c r="E70" s="2" t="s">
        <v>143</v>
      </c>
      <c r="F70" s="2" t="s">
        <v>318</v>
      </c>
      <c r="G70" s="2" t="str">
        <f t="shared" ref="G70:G98" si="6">IF(OR(F70="Ruby",F70="Aalborg"),"Onshore","Offshore")</f>
        <v>Offshore</v>
      </c>
      <c r="H70" s="2" t="s">
        <v>322</v>
      </c>
      <c r="I70" s="8">
        <v>72.400000000000006</v>
      </c>
      <c r="J70" s="8">
        <f t="shared" si="5"/>
        <v>74.209999999999994</v>
      </c>
      <c r="K70" s="8">
        <f t="shared" ref="K70:K98" si="7">IF(E70="Pipeline",15,17.5)</f>
        <v>15</v>
      </c>
      <c r="L70" s="8">
        <f t="shared" ref="L70:L98" si="8">IF(G70="Onshore",15,30)</f>
        <v>30</v>
      </c>
      <c r="M70" s="8">
        <f t="shared" ref="M70:M98" si="9">J70-SUM(K70:L70)</f>
        <v>29.209999999999994</v>
      </c>
      <c r="N70" s="8"/>
      <c r="O70" s="8"/>
      <c r="R70" s="30" t="s">
        <v>81</v>
      </c>
      <c r="S70" s="31">
        <v>42.677799999999991</v>
      </c>
      <c r="U70" s="30" t="s">
        <v>124</v>
      </c>
      <c r="V70" s="31">
        <v>82.190499999999986</v>
      </c>
      <c r="X70"/>
      <c r="AA70"/>
      <c r="AB70"/>
      <c r="AC70"/>
      <c r="AD70"/>
      <c r="AE70"/>
    </row>
    <row r="71" spans="2:31" x14ac:dyDescent="0.2">
      <c r="B71" s="2" t="s">
        <v>169</v>
      </c>
      <c r="C71" s="2" t="s">
        <v>73</v>
      </c>
      <c r="D71" s="2" t="s">
        <v>107</v>
      </c>
      <c r="E71" s="2" t="s">
        <v>143</v>
      </c>
      <c r="F71" s="2" t="s">
        <v>318</v>
      </c>
      <c r="G71" s="2" t="str">
        <f t="shared" si="6"/>
        <v>Offshore</v>
      </c>
      <c r="H71" s="2" t="s">
        <v>323</v>
      </c>
      <c r="I71" s="8">
        <v>71.55</v>
      </c>
      <c r="J71" s="8">
        <f t="shared" si="5"/>
        <v>73.33874999999999</v>
      </c>
      <c r="K71" s="8">
        <f t="shared" si="7"/>
        <v>15</v>
      </c>
      <c r="L71" s="8">
        <f t="shared" si="8"/>
        <v>30</v>
      </c>
      <c r="M71" s="8">
        <f t="shared" si="9"/>
        <v>28.33874999999999</v>
      </c>
      <c r="N71" s="8"/>
      <c r="O71" s="8"/>
      <c r="R71" s="30" t="s">
        <v>108</v>
      </c>
      <c r="S71" s="31">
        <v>38.185399999999994</v>
      </c>
      <c r="U71" s="30" t="s">
        <v>125</v>
      </c>
      <c r="V71" s="31">
        <v>79.535899999999998</v>
      </c>
      <c r="X71"/>
      <c r="AA71"/>
      <c r="AB71"/>
      <c r="AC71"/>
      <c r="AD71"/>
      <c r="AE71"/>
    </row>
    <row r="72" spans="2:31" x14ac:dyDescent="0.2">
      <c r="B72" s="2" t="s">
        <v>169</v>
      </c>
      <c r="C72" s="2" t="s">
        <v>73</v>
      </c>
      <c r="D72" s="2" t="s">
        <v>106</v>
      </c>
      <c r="E72" s="2" t="s">
        <v>143</v>
      </c>
      <c r="F72" s="2" t="s">
        <v>318</v>
      </c>
      <c r="G72" s="2" t="str">
        <f t="shared" si="6"/>
        <v>Offshore</v>
      </c>
      <c r="H72" s="2" t="s">
        <v>322</v>
      </c>
      <c r="I72" s="8">
        <v>71.28</v>
      </c>
      <c r="J72" s="8">
        <f t="shared" si="5"/>
        <v>73.061999999999998</v>
      </c>
      <c r="K72" s="8">
        <f t="shared" si="7"/>
        <v>15</v>
      </c>
      <c r="L72" s="8">
        <f t="shared" si="8"/>
        <v>30</v>
      </c>
      <c r="M72" s="8">
        <f t="shared" si="9"/>
        <v>28.061999999999998</v>
      </c>
      <c r="N72" s="8"/>
      <c r="O72" s="8"/>
      <c r="R72" s="30" t="s">
        <v>172</v>
      </c>
      <c r="S72" s="31">
        <v>3159.1781999999989</v>
      </c>
      <c r="U72" s="30" t="s">
        <v>172</v>
      </c>
      <c r="V72" s="31">
        <v>4808.8895800000009</v>
      </c>
      <c r="X72"/>
      <c r="AA72"/>
      <c r="AB72"/>
      <c r="AC72"/>
      <c r="AD72"/>
      <c r="AE72"/>
    </row>
    <row r="73" spans="2:31" x14ac:dyDescent="0.2">
      <c r="B73" s="2" t="s">
        <v>169</v>
      </c>
      <c r="C73" s="2" t="s">
        <v>73</v>
      </c>
      <c r="D73" s="2" t="s">
        <v>105</v>
      </c>
      <c r="E73" s="2" t="s">
        <v>143</v>
      </c>
      <c r="F73" s="2" t="s">
        <v>318</v>
      </c>
      <c r="G73" s="2" t="str">
        <f t="shared" si="6"/>
        <v>Offshore</v>
      </c>
      <c r="H73" s="2" t="s">
        <v>322</v>
      </c>
      <c r="I73" s="8">
        <v>71.099999999999994</v>
      </c>
      <c r="J73" s="8">
        <f t="shared" si="5"/>
        <v>72.877499999999984</v>
      </c>
      <c r="K73" s="8">
        <f t="shared" si="7"/>
        <v>15</v>
      </c>
      <c r="L73" s="8">
        <f t="shared" si="8"/>
        <v>30</v>
      </c>
      <c r="M73" s="8">
        <f t="shared" si="9"/>
        <v>27.877499999999984</v>
      </c>
      <c r="N73" s="8"/>
      <c r="O73" s="8"/>
      <c r="X73"/>
      <c r="AA73"/>
      <c r="AB73"/>
      <c r="AC73"/>
      <c r="AD73"/>
      <c r="AE73"/>
    </row>
    <row r="74" spans="2:31" x14ac:dyDescent="0.2">
      <c r="B74" s="2" t="s">
        <v>169</v>
      </c>
      <c r="C74" s="2" t="s">
        <v>73</v>
      </c>
      <c r="D74" s="2" t="s">
        <v>104</v>
      </c>
      <c r="E74" s="2" t="s">
        <v>143</v>
      </c>
      <c r="F74" s="2" t="s">
        <v>320</v>
      </c>
      <c r="G74" s="2" t="str">
        <f t="shared" si="6"/>
        <v>Offshore</v>
      </c>
      <c r="H74" s="2" t="s">
        <v>322</v>
      </c>
      <c r="I74" s="8">
        <v>70.17</v>
      </c>
      <c r="J74" s="8">
        <f t="shared" si="5"/>
        <v>71.924250000000001</v>
      </c>
      <c r="K74" s="8">
        <f t="shared" si="7"/>
        <v>15</v>
      </c>
      <c r="L74" s="8">
        <f t="shared" si="8"/>
        <v>30</v>
      </c>
      <c r="M74" s="8">
        <f t="shared" si="9"/>
        <v>26.924250000000001</v>
      </c>
      <c r="N74" s="8"/>
      <c r="O74" s="8"/>
      <c r="X74"/>
      <c r="AA74"/>
      <c r="AB74"/>
      <c r="AC74"/>
      <c r="AD74"/>
      <c r="AE74"/>
    </row>
    <row r="75" spans="2:31" x14ac:dyDescent="0.2">
      <c r="B75" s="2" t="s">
        <v>169</v>
      </c>
      <c r="C75" s="2" t="s">
        <v>73</v>
      </c>
      <c r="D75" s="2" t="s">
        <v>109</v>
      </c>
      <c r="E75" s="2" t="s">
        <v>143</v>
      </c>
      <c r="F75" s="2" t="s">
        <v>318</v>
      </c>
      <c r="G75" s="2" t="str">
        <f t="shared" si="6"/>
        <v>Offshore</v>
      </c>
      <c r="H75" s="2" t="s">
        <v>323</v>
      </c>
      <c r="I75" s="8">
        <v>70.25</v>
      </c>
      <c r="J75" s="8">
        <f t="shared" si="5"/>
        <v>72.006249999999994</v>
      </c>
      <c r="K75" s="8">
        <f t="shared" si="7"/>
        <v>15</v>
      </c>
      <c r="L75" s="8">
        <f t="shared" si="8"/>
        <v>30</v>
      </c>
      <c r="M75" s="8">
        <f t="shared" si="9"/>
        <v>27.006249999999994</v>
      </c>
      <c r="N75" s="8"/>
      <c r="O75" s="8"/>
      <c r="X75"/>
      <c r="AA75"/>
      <c r="AB75"/>
      <c r="AC75"/>
      <c r="AD75"/>
      <c r="AE75"/>
    </row>
    <row r="76" spans="2:31" x14ac:dyDescent="0.2">
      <c r="B76" s="2" t="s">
        <v>169</v>
      </c>
      <c r="C76" s="2" t="s">
        <v>73</v>
      </c>
      <c r="D76" s="2" t="s">
        <v>126</v>
      </c>
      <c r="E76" s="2" t="s">
        <v>143</v>
      </c>
      <c r="F76" s="2" t="s">
        <v>318</v>
      </c>
      <c r="G76" s="2" t="str">
        <f t="shared" si="6"/>
        <v>Offshore</v>
      </c>
      <c r="H76" s="2" t="s">
        <v>323</v>
      </c>
      <c r="I76" s="8">
        <v>70.2</v>
      </c>
      <c r="J76" s="8">
        <f t="shared" si="5"/>
        <v>71.954999999999998</v>
      </c>
      <c r="K76" s="8">
        <f t="shared" si="7"/>
        <v>15</v>
      </c>
      <c r="L76" s="8">
        <f t="shared" si="8"/>
        <v>30</v>
      </c>
      <c r="M76" s="8">
        <f t="shared" si="9"/>
        <v>26.954999999999998</v>
      </c>
      <c r="N76" s="8"/>
      <c r="O76" s="8"/>
      <c r="X76"/>
      <c r="AA76"/>
      <c r="AB76"/>
      <c r="AC76"/>
      <c r="AD76"/>
      <c r="AE76"/>
    </row>
    <row r="77" spans="2:31" x14ac:dyDescent="0.2">
      <c r="B77" s="2" t="s">
        <v>169</v>
      </c>
      <c r="C77" s="2" t="s">
        <v>73</v>
      </c>
      <c r="D77" s="2" t="s">
        <v>110</v>
      </c>
      <c r="E77" s="2" t="s">
        <v>143</v>
      </c>
      <c r="F77" s="2" t="s">
        <v>318</v>
      </c>
      <c r="G77" s="2" t="str">
        <f t="shared" si="6"/>
        <v>Offshore</v>
      </c>
      <c r="H77" s="2" t="s">
        <v>323</v>
      </c>
      <c r="I77" s="8">
        <v>69.75</v>
      </c>
      <c r="J77" s="8">
        <f t="shared" si="5"/>
        <v>71.493749999999991</v>
      </c>
      <c r="K77" s="8">
        <f t="shared" si="7"/>
        <v>15</v>
      </c>
      <c r="L77" s="8">
        <f t="shared" si="8"/>
        <v>30</v>
      </c>
      <c r="M77" s="8">
        <f t="shared" si="9"/>
        <v>26.493749999999991</v>
      </c>
      <c r="N77" s="8"/>
      <c r="O77" s="8"/>
      <c r="X77"/>
      <c r="AA77"/>
      <c r="AB77"/>
      <c r="AC77"/>
      <c r="AD77"/>
      <c r="AE77"/>
    </row>
    <row r="78" spans="2:31" x14ac:dyDescent="0.2">
      <c r="B78" s="2" t="s">
        <v>169</v>
      </c>
      <c r="C78" s="2" t="s">
        <v>73</v>
      </c>
      <c r="D78" s="2" t="s">
        <v>112</v>
      </c>
      <c r="E78" s="2" t="s">
        <v>143</v>
      </c>
      <c r="F78" s="2" t="s">
        <v>318</v>
      </c>
      <c r="G78" s="2" t="str">
        <f t="shared" si="6"/>
        <v>Offshore</v>
      </c>
      <c r="H78" s="2" t="s">
        <v>323</v>
      </c>
      <c r="I78" s="8">
        <v>69.349999999999994</v>
      </c>
      <c r="J78" s="8">
        <f t="shared" si="5"/>
        <v>71.083749999999995</v>
      </c>
      <c r="K78" s="8">
        <f t="shared" si="7"/>
        <v>15</v>
      </c>
      <c r="L78" s="8">
        <f t="shared" si="8"/>
        <v>30</v>
      </c>
      <c r="M78" s="8">
        <f t="shared" si="9"/>
        <v>26.083749999999995</v>
      </c>
      <c r="N78" s="8"/>
      <c r="O78" s="8"/>
      <c r="X78"/>
      <c r="AA78"/>
      <c r="AB78"/>
      <c r="AC78"/>
      <c r="AD78"/>
      <c r="AE78"/>
    </row>
    <row r="79" spans="2:31" x14ac:dyDescent="0.2">
      <c r="B79" s="2" t="s">
        <v>169</v>
      </c>
      <c r="C79" s="2" t="s">
        <v>73</v>
      </c>
      <c r="D79" s="2" t="s">
        <v>113</v>
      </c>
      <c r="E79" s="2" t="s">
        <v>143</v>
      </c>
      <c r="F79" s="2" t="s">
        <v>318</v>
      </c>
      <c r="G79" s="2" t="str">
        <f t="shared" si="6"/>
        <v>Offshore</v>
      </c>
      <c r="H79" s="2" t="s">
        <v>323</v>
      </c>
      <c r="I79" s="8">
        <v>69.08</v>
      </c>
      <c r="J79" s="8">
        <f t="shared" si="5"/>
        <v>70.806999999999988</v>
      </c>
      <c r="K79" s="8">
        <f t="shared" si="7"/>
        <v>15</v>
      </c>
      <c r="L79" s="8">
        <f t="shared" si="8"/>
        <v>30</v>
      </c>
      <c r="M79" s="8">
        <f t="shared" si="9"/>
        <v>25.806999999999988</v>
      </c>
      <c r="N79" s="8"/>
      <c r="O79" s="8"/>
      <c r="X79"/>
      <c r="AA79"/>
      <c r="AB79"/>
      <c r="AC79"/>
      <c r="AD79"/>
      <c r="AE79"/>
    </row>
    <row r="80" spans="2:31" x14ac:dyDescent="0.2">
      <c r="B80" s="2" t="s">
        <v>169</v>
      </c>
      <c r="C80" s="2" t="s">
        <v>73</v>
      </c>
      <c r="D80" s="2" t="s">
        <v>111</v>
      </c>
      <c r="E80" s="2" t="s">
        <v>143</v>
      </c>
      <c r="F80" s="2" t="s">
        <v>318</v>
      </c>
      <c r="G80" s="2" t="str">
        <f t="shared" si="6"/>
        <v>Offshore</v>
      </c>
      <c r="H80" s="2" t="s">
        <v>322</v>
      </c>
      <c r="I80" s="8">
        <v>68.37</v>
      </c>
      <c r="J80" s="8">
        <f t="shared" si="5"/>
        <v>70.079250000000002</v>
      </c>
      <c r="K80" s="8">
        <f t="shared" si="7"/>
        <v>15</v>
      </c>
      <c r="L80" s="8">
        <f t="shared" si="8"/>
        <v>30</v>
      </c>
      <c r="M80" s="8">
        <f t="shared" si="9"/>
        <v>25.079250000000002</v>
      </c>
      <c r="N80" s="8"/>
      <c r="O80" s="8"/>
      <c r="X80"/>
      <c r="AA80"/>
      <c r="AB80"/>
      <c r="AC80"/>
      <c r="AD80"/>
      <c r="AE80"/>
    </row>
    <row r="81" spans="2:31" x14ac:dyDescent="0.2">
      <c r="B81" s="2" t="s">
        <v>169</v>
      </c>
      <c r="C81" s="2" t="s">
        <v>73</v>
      </c>
      <c r="D81" s="2" t="s">
        <v>115</v>
      </c>
      <c r="E81" s="2" t="s">
        <v>143</v>
      </c>
      <c r="F81" s="2" t="s">
        <v>318</v>
      </c>
      <c r="G81" s="2" t="str">
        <f t="shared" si="6"/>
        <v>Offshore</v>
      </c>
      <c r="H81" s="2" t="s">
        <v>323</v>
      </c>
      <c r="I81" s="8">
        <v>68.19</v>
      </c>
      <c r="J81" s="8">
        <f t="shared" si="5"/>
        <v>69.894749999999988</v>
      </c>
      <c r="K81" s="8">
        <f t="shared" si="7"/>
        <v>15</v>
      </c>
      <c r="L81" s="8">
        <f t="shared" si="8"/>
        <v>30</v>
      </c>
      <c r="M81" s="8">
        <f t="shared" si="9"/>
        <v>24.894749999999988</v>
      </c>
      <c r="N81" s="8"/>
      <c r="O81" s="8"/>
      <c r="X81"/>
      <c r="AA81"/>
      <c r="AB81"/>
      <c r="AC81"/>
      <c r="AD81"/>
      <c r="AE81"/>
    </row>
    <row r="82" spans="2:31" x14ac:dyDescent="0.2">
      <c r="B82" s="2" t="s">
        <v>169</v>
      </c>
      <c r="C82" s="2" t="s">
        <v>73</v>
      </c>
      <c r="D82" s="2" t="s">
        <v>114</v>
      </c>
      <c r="E82" s="2" t="s">
        <v>143</v>
      </c>
      <c r="F82" s="2" t="s">
        <v>318</v>
      </c>
      <c r="G82" s="2" t="str">
        <f t="shared" si="6"/>
        <v>Offshore</v>
      </c>
      <c r="H82" s="2" t="s">
        <v>323</v>
      </c>
      <c r="I82" s="8">
        <v>68.05</v>
      </c>
      <c r="J82" s="8">
        <f t="shared" si="5"/>
        <v>69.751249999999985</v>
      </c>
      <c r="K82" s="8">
        <f t="shared" si="7"/>
        <v>15</v>
      </c>
      <c r="L82" s="8">
        <f t="shared" si="8"/>
        <v>30</v>
      </c>
      <c r="M82" s="8">
        <f t="shared" si="9"/>
        <v>24.751249999999985</v>
      </c>
      <c r="N82" s="8"/>
      <c r="O82" s="8"/>
      <c r="X82"/>
      <c r="AA82"/>
      <c r="AB82"/>
      <c r="AC82"/>
      <c r="AD82"/>
      <c r="AE82"/>
    </row>
    <row r="83" spans="2:31" x14ac:dyDescent="0.2">
      <c r="B83" s="2" t="s">
        <v>169</v>
      </c>
      <c r="C83" s="2" t="s">
        <v>73</v>
      </c>
      <c r="D83" s="2" t="s">
        <v>116</v>
      </c>
      <c r="E83" s="2" t="s">
        <v>143</v>
      </c>
      <c r="F83" s="2" t="s">
        <v>318</v>
      </c>
      <c r="G83" s="2" t="str">
        <f t="shared" si="6"/>
        <v>Offshore</v>
      </c>
      <c r="H83" s="2" t="s">
        <v>323</v>
      </c>
      <c r="I83" s="8">
        <v>66.89</v>
      </c>
      <c r="J83" s="8">
        <f t="shared" si="5"/>
        <v>68.562249999999992</v>
      </c>
      <c r="K83" s="8">
        <f t="shared" si="7"/>
        <v>15</v>
      </c>
      <c r="L83" s="8">
        <f t="shared" si="8"/>
        <v>30</v>
      </c>
      <c r="M83" s="8">
        <f t="shared" si="9"/>
        <v>23.562249999999992</v>
      </c>
      <c r="N83" s="8"/>
      <c r="O83" s="8"/>
      <c r="X83"/>
      <c r="AA83"/>
      <c r="AB83"/>
      <c r="AC83"/>
      <c r="AD83"/>
      <c r="AE83"/>
    </row>
    <row r="84" spans="2:31" x14ac:dyDescent="0.2">
      <c r="B84" s="2" t="s">
        <v>169</v>
      </c>
      <c r="C84" s="2" t="s">
        <v>73</v>
      </c>
      <c r="D84" s="2" t="s">
        <v>117</v>
      </c>
      <c r="E84" s="2" t="s">
        <v>143</v>
      </c>
      <c r="F84" s="2" t="s">
        <v>318</v>
      </c>
      <c r="G84" s="2" t="str">
        <f t="shared" si="6"/>
        <v>Offshore</v>
      </c>
      <c r="H84" s="2" t="s">
        <v>323</v>
      </c>
      <c r="I84" s="8">
        <v>66.13</v>
      </c>
      <c r="J84" s="8">
        <f t="shared" si="5"/>
        <v>67.783249999999995</v>
      </c>
      <c r="K84" s="8">
        <f t="shared" si="7"/>
        <v>15</v>
      </c>
      <c r="L84" s="8">
        <f t="shared" si="8"/>
        <v>30</v>
      </c>
      <c r="M84" s="8">
        <f t="shared" si="9"/>
        <v>22.783249999999995</v>
      </c>
      <c r="N84" s="8"/>
      <c r="O84" s="8"/>
      <c r="X84"/>
      <c r="AA84"/>
      <c r="AB84"/>
      <c r="AC84"/>
      <c r="AD84"/>
      <c r="AE84"/>
    </row>
    <row r="85" spans="2:31" x14ac:dyDescent="0.2">
      <c r="B85" s="2" t="s">
        <v>169</v>
      </c>
      <c r="C85" s="2" t="s">
        <v>73</v>
      </c>
      <c r="D85" s="2" t="s">
        <v>118</v>
      </c>
      <c r="E85" s="2" t="s">
        <v>143</v>
      </c>
      <c r="F85" s="2" t="s">
        <v>318</v>
      </c>
      <c r="G85" s="2" t="str">
        <f t="shared" si="6"/>
        <v>Offshore</v>
      </c>
      <c r="H85" s="2" t="s">
        <v>323</v>
      </c>
      <c r="I85" s="8">
        <v>61.87</v>
      </c>
      <c r="J85" s="8">
        <f t="shared" si="5"/>
        <v>63.416749999999993</v>
      </c>
      <c r="K85" s="8">
        <f t="shared" si="7"/>
        <v>15</v>
      </c>
      <c r="L85" s="8">
        <f t="shared" si="8"/>
        <v>30</v>
      </c>
      <c r="M85" s="8">
        <f t="shared" si="9"/>
        <v>18.416749999999993</v>
      </c>
      <c r="N85" s="8"/>
      <c r="O85" s="8"/>
      <c r="X85"/>
      <c r="AA85"/>
      <c r="AB85"/>
      <c r="AC85"/>
      <c r="AD85"/>
      <c r="AE85"/>
    </row>
    <row r="86" spans="2:31" x14ac:dyDescent="0.2">
      <c r="B86" s="2" t="s">
        <v>169</v>
      </c>
      <c r="C86" s="2" t="s">
        <v>73</v>
      </c>
      <c r="D86" s="2" t="s">
        <v>90</v>
      </c>
      <c r="E86" s="2" t="s">
        <v>143</v>
      </c>
      <c r="F86" s="2" t="s">
        <v>321</v>
      </c>
      <c r="G86" s="2" t="str">
        <f t="shared" si="6"/>
        <v>Onshore</v>
      </c>
      <c r="H86" s="2" t="s">
        <v>322</v>
      </c>
      <c r="I86" s="8">
        <v>59.29</v>
      </c>
      <c r="J86" s="8">
        <f t="shared" si="5"/>
        <v>60.772249999999993</v>
      </c>
      <c r="K86" s="8">
        <f t="shared" si="7"/>
        <v>15</v>
      </c>
      <c r="L86" s="8">
        <f t="shared" si="8"/>
        <v>15</v>
      </c>
      <c r="M86" s="8">
        <f t="shared" si="9"/>
        <v>30.772249999999993</v>
      </c>
      <c r="N86" s="8"/>
      <c r="O86" s="8"/>
      <c r="X86"/>
      <c r="AA86"/>
      <c r="AB86"/>
      <c r="AC86"/>
      <c r="AD86"/>
      <c r="AE86"/>
    </row>
    <row r="87" spans="2:31" x14ac:dyDescent="0.2">
      <c r="B87" s="2" t="s">
        <v>169</v>
      </c>
      <c r="C87" s="2" t="s">
        <v>73</v>
      </c>
      <c r="D87" s="2" t="s">
        <v>82</v>
      </c>
      <c r="E87" s="2" t="s">
        <v>143</v>
      </c>
      <c r="F87" s="2" t="s">
        <v>321</v>
      </c>
      <c r="G87" s="2" t="str">
        <f t="shared" si="6"/>
        <v>Onshore</v>
      </c>
      <c r="H87" s="2" t="s">
        <v>323</v>
      </c>
      <c r="I87" s="23">
        <v>48.9</v>
      </c>
      <c r="J87" s="8">
        <f t="shared" si="5"/>
        <v>50.122499999999995</v>
      </c>
      <c r="K87" s="8">
        <f t="shared" si="7"/>
        <v>15</v>
      </c>
      <c r="L87" s="8">
        <f t="shared" si="8"/>
        <v>15</v>
      </c>
      <c r="M87" s="8">
        <f t="shared" si="9"/>
        <v>20.122499999999995</v>
      </c>
      <c r="N87" s="8"/>
      <c r="O87" s="8"/>
      <c r="X87"/>
      <c r="AA87"/>
      <c r="AB87"/>
      <c r="AC87"/>
      <c r="AD87"/>
      <c r="AE87"/>
    </row>
    <row r="88" spans="2:31" x14ac:dyDescent="0.2">
      <c r="B88" s="2" t="s">
        <v>169</v>
      </c>
      <c r="C88" s="2" t="s">
        <v>73</v>
      </c>
      <c r="D88" s="2" t="s">
        <v>101</v>
      </c>
      <c r="E88" s="2" t="s">
        <v>143</v>
      </c>
      <c r="F88" s="2" t="s">
        <v>321</v>
      </c>
      <c r="G88" s="2" t="str">
        <f t="shared" si="6"/>
        <v>Onshore</v>
      </c>
      <c r="H88" s="2" t="s">
        <v>323</v>
      </c>
      <c r="I88" s="8">
        <v>46.37</v>
      </c>
      <c r="J88" s="8">
        <f t="shared" si="5"/>
        <v>47.52924999999999</v>
      </c>
      <c r="K88" s="8">
        <f t="shared" si="7"/>
        <v>15</v>
      </c>
      <c r="L88" s="8">
        <f t="shared" si="8"/>
        <v>15</v>
      </c>
      <c r="M88" s="8">
        <f t="shared" si="9"/>
        <v>17.52924999999999</v>
      </c>
      <c r="N88" s="8"/>
      <c r="O88" s="8"/>
      <c r="X88"/>
      <c r="AA88"/>
      <c r="AB88"/>
      <c r="AC88"/>
      <c r="AD88"/>
      <c r="AE88"/>
    </row>
    <row r="89" spans="2:31" x14ac:dyDescent="0.2">
      <c r="B89" s="2" t="s">
        <v>169</v>
      </c>
      <c r="C89" s="2" t="s">
        <v>73</v>
      </c>
      <c r="D89" s="2" t="s">
        <v>84</v>
      </c>
      <c r="E89" s="2" t="s">
        <v>143</v>
      </c>
      <c r="F89" s="2" t="s">
        <v>321</v>
      </c>
      <c r="G89" s="2" t="str">
        <f t="shared" si="6"/>
        <v>Onshore</v>
      </c>
      <c r="H89" s="2" t="s">
        <v>323</v>
      </c>
      <c r="I89" s="8">
        <v>46.08</v>
      </c>
      <c r="J89" s="8">
        <f t="shared" si="5"/>
        <v>47.231999999999992</v>
      </c>
      <c r="K89" s="8">
        <f t="shared" si="7"/>
        <v>15</v>
      </c>
      <c r="L89" s="8">
        <f t="shared" si="8"/>
        <v>15</v>
      </c>
      <c r="M89" s="8">
        <f t="shared" si="9"/>
        <v>17.231999999999992</v>
      </c>
      <c r="N89" s="8"/>
      <c r="O89" s="8"/>
      <c r="X89"/>
      <c r="AA89"/>
      <c r="AB89"/>
      <c r="AC89"/>
      <c r="AD89"/>
      <c r="AE89"/>
    </row>
    <row r="90" spans="2:31" x14ac:dyDescent="0.2">
      <c r="B90" s="2" t="s">
        <v>169</v>
      </c>
      <c r="C90" s="2" t="s">
        <v>73</v>
      </c>
      <c r="D90" s="2" t="s">
        <v>83</v>
      </c>
      <c r="E90" s="2" t="s">
        <v>143</v>
      </c>
      <c r="F90" s="2" t="s">
        <v>321</v>
      </c>
      <c r="G90" s="2" t="str">
        <f t="shared" si="6"/>
        <v>Onshore</v>
      </c>
      <c r="H90" s="2" t="s">
        <v>323</v>
      </c>
      <c r="I90" s="8">
        <v>46.03</v>
      </c>
      <c r="J90" s="8">
        <f t="shared" si="5"/>
        <v>47.180749999999996</v>
      </c>
      <c r="K90" s="8">
        <f t="shared" si="7"/>
        <v>15</v>
      </c>
      <c r="L90" s="8">
        <f t="shared" si="8"/>
        <v>15</v>
      </c>
      <c r="M90" s="8">
        <f t="shared" si="9"/>
        <v>17.180749999999996</v>
      </c>
      <c r="N90" s="8"/>
      <c r="O90" s="8"/>
      <c r="X90"/>
      <c r="AA90"/>
      <c r="AB90"/>
      <c r="AC90"/>
      <c r="AD90"/>
      <c r="AE90"/>
    </row>
    <row r="91" spans="2:31" x14ac:dyDescent="0.2">
      <c r="B91" s="2" t="s">
        <v>169</v>
      </c>
      <c r="C91" s="2" t="s">
        <v>73</v>
      </c>
      <c r="D91" s="2" t="s">
        <v>89</v>
      </c>
      <c r="E91" s="2" t="s">
        <v>143</v>
      </c>
      <c r="F91" s="2" t="s">
        <v>321</v>
      </c>
      <c r="G91" s="2" t="str">
        <f t="shared" si="6"/>
        <v>Onshore</v>
      </c>
      <c r="H91" s="2" t="s">
        <v>323</v>
      </c>
      <c r="I91" s="8">
        <v>46.03</v>
      </c>
      <c r="J91" s="8">
        <f t="shared" si="5"/>
        <v>47.180749999999996</v>
      </c>
      <c r="K91" s="8">
        <f t="shared" si="7"/>
        <v>15</v>
      </c>
      <c r="L91" s="8">
        <f t="shared" si="8"/>
        <v>15</v>
      </c>
      <c r="M91" s="8">
        <f t="shared" si="9"/>
        <v>17.180749999999996</v>
      </c>
      <c r="N91" s="8"/>
      <c r="O91" s="8"/>
      <c r="X91"/>
      <c r="AA91"/>
      <c r="AB91"/>
      <c r="AC91"/>
      <c r="AD91"/>
      <c r="AE91"/>
    </row>
    <row r="92" spans="2:31" x14ac:dyDescent="0.2">
      <c r="B92" s="2" t="s">
        <v>169</v>
      </c>
      <c r="C92" s="2" t="s">
        <v>73</v>
      </c>
      <c r="D92" s="2" t="s">
        <v>85</v>
      </c>
      <c r="E92" s="2" t="s">
        <v>143</v>
      </c>
      <c r="F92" s="2" t="s">
        <v>321</v>
      </c>
      <c r="G92" s="2" t="str">
        <f t="shared" si="6"/>
        <v>Onshore</v>
      </c>
      <c r="H92" s="2" t="s">
        <v>323</v>
      </c>
      <c r="I92" s="8">
        <v>45.63</v>
      </c>
      <c r="J92" s="8">
        <f t="shared" si="5"/>
        <v>46.77075</v>
      </c>
      <c r="K92" s="8">
        <f t="shared" si="7"/>
        <v>15</v>
      </c>
      <c r="L92" s="8">
        <f t="shared" si="8"/>
        <v>15</v>
      </c>
      <c r="M92" s="8">
        <f t="shared" si="9"/>
        <v>16.77075</v>
      </c>
      <c r="N92" s="8"/>
      <c r="O92" s="8"/>
      <c r="X92"/>
      <c r="AA92"/>
      <c r="AB92"/>
      <c r="AC92"/>
      <c r="AD92"/>
      <c r="AE92"/>
    </row>
    <row r="93" spans="2:31" x14ac:dyDescent="0.2">
      <c r="B93" s="2" t="s">
        <v>169</v>
      </c>
      <c r="C93" s="2" t="s">
        <v>73</v>
      </c>
      <c r="D93" s="2" t="s">
        <v>86</v>
      </c>
      <c r="E93" s="2" t="s">
        <v>143</v>
      </c>
      <c r="F93" s="2" t="s">
        <v>321</v>
      </c>
      <c r="G93" s="2" t="str">
        <f t="shared" si="6"/>
        <v>Onshore</v>
      </c>
      <c r="H93" s="2" t="s">
        <v>323</v>
      </c>
      <c r="I93" s="8">
        <v>45.63</v>
      </c>
      <c r="J93" s="8">
        <f t="shared" si="5"/>
        <v>46.77075</v>
      </c>
      <c r="K93" s="8">
        <f t="shared" si="7"/>
        <v>15</v>
      </c>
      <c r="L93" s="8">
        <f t="shared" si="8"/>
        <v>15</v>
      </c>
      <c r="M93" s="8">
        <f t="shared" si="9"/>
        <v>16.77075</v>
      </c>
      <c r="N93" s="8"/>
      <c r="O93" s="8"/>
      <c r="X93"/>
      <c r="AA93"/>
      <c r="AB93"/>
      <c r="AC93"/>
      <c r="AD93"/>
      <c r="AE93"/>
    </row>
    <row r="94" spans="2:31" x14ac:dyDescent="0.2">
      <c r="B94" s="2" t="s">
        <v>169</v>
      </c>
      <c r="C94" s="2" t="s">
        <v>73</v>
      </c>
      <c r="D94" s="2" t="s">
        <v>87</v>
      </c>
      <c r="E94" s="2" t="s">
        <v>143</v>
      </c>
      <c r="F94" s="2" t="s">
        <v>321</v>
      </c>
      <c r="G94" s="2" t="str">
        <f t="shared" si="6"/>
        <v>Onshore</v>
      </c>
      <c r="H94" s="2" t="s">
        <v>323</v>
      </c>
      <c r="I94" s="8">
        <v>45.63</v>
      </c>
      <c r="J94" s="8">
        <f t="shared" si="5"/>
        <v>46.77075</v>
      </c>
      <c r="K94" s="8">
        <f t="shared" si="7"/>
        <v>15</v>
      </c>
      <c r="L94" s="8">
        <f t="shared" si="8"/>
        <v>15</v>
      </c>
      <c r="M94" s="8">
        <f t="shared" si="9"/>
        <v>16.77075</v>
      </c>
      <c r="N94" s="8"/>
      <c r="O94" s="8"/>
      <c r="X94"/>
      <c r="AA94"/>
      <c r="AB94"/>
      <c r="AC94"/>
      <c r="AD94"/>
      <c r="AE94"/>
    </row>
    <row r="95" spans="2:31" x14ac:dyDescent="0.2">
      <c r="B95" s="2" t="s">
        <v>169</v>
      </c>
      <c r="C95" s="2" t="s">
        <v>73</v>
      </c>
      <c r="D95" s="2" t="s">
        <v>92</v>
      </c>
      <c r="E95" s="2" t="s">
        <v>143</v>
      </c>
      <c r="F95" s="2" t="s">
        <v>321</v>
      </c>
      <c r="G95" s="2" t="str">
        <f t="shared" si="6"/>
        <v>Onshore</v>
      </c>
      <c r="H95" s="2" t="s">
        <v>323</v>
      </c>
      <c r="I95" s="8">
        <v>43.84</v>
      </c>
      <c r="J95" s="8">
        <f t="shared" si="5"/>
        <v>44.936</v>
      </c>
      <c r="K95" s="8">
        <f t="shared" si="7"/>
        <v>15</v>
      </c>
      <c r="L95" s="8">
        <f t="shared" si="8"/>
        <v>15</v>
      </c>
      <c r="M95" s="8">
        <f t="shared" si="9"/>
        <v>14.936</v>
      </c>
      <c r="N95" s="8"/>
      <c r="O95" s="8"/>
      <c r="X95"/>
      <c r="AA95"/>
      <c r="AB95"/>
      <c r="AC95"/>
      <c r="AD95"/>
      <c r="AE95"/>
    </row>
    <row r="96" spans="2:31" x14ac:dyDescent="0.2">
      <c r="B96" s="2" t="s">
        <v>169</v>
      </c>
      <c r="C96" s="2" t="s">
        <v>73</v>
      </c>
      <c r="D96" s="2" t="s">
        <v>93</v>
      </c>
      <c r="E96" s="2" t="s">
        <v>143</v>
      </c>
      <c r="F96" s="2" t="s">
        <v>321</v>
      </c>
      <c r="G96" s="2" t="str">
        <f t="shared" si="6"/>
        <v>Onshore</v>
      </c>
      <c r="H96" s="2" t="s">
        <v>323</v>
      </c>
      <c r="I96" s="8">
        <v>43.7</v>
      </c>
      <c r="J96" s="8">
        <f t="shared" si="5"/>
        <v>44.792499999999997</v>
      </c>
      <c r="K96" s="8">
        <f t="shared" si="7"/>
        <v>15</v>
      </c>
      <c r="L96" s="8">
        <f t="shared" si="8"/>
        <v>15</v>
      </c>
      <c r="M96" s="8">
        <f t="shared" si="9"/>
        <v>14.792499999999997</v>
      </c>
      <c r="N96" s="8"/>
      <c r="O96" s="8"/>
      <c r="X96"/>
      <c r="AA96"/>
      <c r="AB96"/>
      <c r="AC96"/>
      <c r="AD96"/>
      <c r="AE96"/>
    </row>
    <row r="97" spans="2:31" x14ac:dyDescent="0.2">
      <c r="B97" s="2" t="s">
        <v>169</v>
      </c>
      <c r="C97" s="2" t="s">
        <v>73</v>
      </c>
      <c r="D97" s="2" t="s">
        <v>81</v>
      </c>
      <c r="E97" s="2" t="s">
        <v>143</v>
      </c>
      <c r="F97" s="2" t="s">
        <v>321</v>
      </c>
      <c r="G97" s="2" t="str">
        <f t="shared" si="6"/>
        <v>Onshore</v>
      </c>
      <c r="H97" s="2" t="s">
        <v>323</v>
      </c>
      <c r="I97" s="23">
        <v>41.84</v>
      </c>
      <c r="J97" s="8">
        <f t="shared" si="5"/>
        <v>42.886000000000003</v>
      </c>
      <c r="K97" s="8">
        <f t="shared" si="7"/>
        <v>15</v>
      </c>
      <c r="L97" s="8">
        <f t="shared" si="8"/>
        <v>15</v>
      </c>
      <c r="M97" s="8">
        <f t="shared" si="9"/>
        <v>12.886000000000003</v>
      </c>
      <c r="N97" s="8"/>
      <c r="O97" s="8"/>
      <c r="X97"/>
      <c r="AA97"/>
      <c r="AB97"/>
      <c r="AC97"/>
      <c r="AD97"/>
      <c r="AE97"/>
    </row>
    <row r="98" spans="2:31" x14ac:dyDescent="0.2">
      <c r="B98" s="2" t="s">
        <v>169</v>
      </c>
      <c r="C98" s="2" t="s">
        <v>73</v>
      </c>
      <c r="D98" s="2" t="s">
        <v>108</v>
      </c>
      <c r="E98" s="2" t="s">
        <v>143</v>
      </c>
      <c r="F98" s="2" t="s">
        <v>321</v>
      </c>
      <c r="G98" s="2" t="str">
        <f t="shared" si="6"/>
        <v>Onshore</v>
      </c>
      <c r="H98" s="2" t="s">
        <v>323</v>
      </c>
      <c r="I98" s="8">
        <v>37.44</v>
      </c>
      <c r="J98" s="8">
        <f t="shared" si="5"/>
        <v>38.375999999999998</v>
      </c>
      <c r="K98" s="8">
        <f t="shared" si="7"/>
        <v>15</v>
      </c>
      <c r="L98" s="8">
        <f t="shared" si="8"/>
        <v>15</v>
      </c>
      <c r="M98" s="8">
        <f t="shared" si="9"/>
        <v>8.3759999999999977</v>
      </c>
      <c r="N98" s="8"/>
      <c r="O98" s="8"/>
      <c r="X98"/>
      <c r="AA98"/>
      <c r="AB98"/>
      <c r="AC98"/>
      <c r="AD98"/>
      <c r="AE98"/>
    </row>
    <row r="99" spans="2:31" x14ac:dyDescent="0.2">
      <c r="J99" s="8"/>
      <c r="K99" s="8"/>
      <c r="L99" s="8"/>
      <c r="M99" s="8"/>
      <c r="N99" s="8"/>
      <c r="O99" s="8"/>
      <c r="X99"/>
      <c r="AA99"/>
      <c r="AB99"/>
      <c r="AC99"/>
      <c r="AD99"/>
      <c r="AE99"/>
    </row>
    <row r="100" spans="2:31" x14ac:dyDescent="0.2">
      <c r="X100"/>
      <c r="AA100"/>
      <c r="AB100"/>
      <c r="AC100"/>
      <c r="AD100"/>
      <c r="AE100"/>
    </row>
    <row r="101" spans="2:31" x14ac:dyDescent="0.2">
      <c r="X101"/>
      <c r="AA101"/>
      <c r="AB101"/>
      <c r="AC101"/>
      <c r="AD101"/>
      <c r="AE101"/>
    </row>
    <row r="102" spans="2:31" x14ac:dyDescent="0.2">
      <c r="X102"/>
      <c r="AA102"/>
      <c r="AB102"/>
      <c r="AC102"/>
      <c r="AD102"/>
      <c r="AE102"/>
    </row>
    <row r="103" spans="2:31" x14ac:dyDescent="0.2">
      <c r="X103"/>
      <c r="AA103"/>
      <c r="AB103"/>
      <c r="AC103"/>
      <c r="AD103"/>
      <c r="AE103"/>
    </row>
    <row r="104" spans="2:31" x14ac:dyDescent="0.2">
      <c r="X104"/>
      <c r="AA104"/>
      <c r="AB104"/>
      <c r="AC104"/>
      <c r="AD104"/>
      <c r="AE104"/>
    </row>
    <row r="105" spans="2:31" x14ac:dyDescent="0.2">
      <c r="X105"/>
      <c r="AA105"/>
      <c r="AB105"/>
      <c r="AC105"/>
      <c r="AD105"/>
      <c r="AE105"/>
    </row>
    <row r="106" spans="2:31" x14ac:dyDescent="0.2">
      <c r="X106"/>
      <c r="AA106"/>
      <c r="AB106"/>
      <c r="AC106"/>
      <c r="AD106"/>
      <c r="AE106"/>
    </row>
    <row r="107" spans="2:31" x14ac:dyDescent="0.2">
      <c r="X107"/>
      <c r="AA107"/>
      <c r="AB107"/>
      <c r="AC107"/>
      <c r="AD107"/>
      <c r="AE107"/>
    </row>
    <row r="108" spans="2:31" x14ac:dyDescent="0.2">
      <c r="X108"/>
      <c r="AA108"/>
      <c r="AB108"/>
      <c r="AC108"/>
      <c r="AD108"/>
      <c r="AE108"/>
    </row>
    <row r="109" spans="2:31" x14ac:dyDescent="0.2">
      <c r="X109"/>
      <c r="AA109"/>
      <c r="AB109"/>
      <c r="AC109"/>
      <c r="AD109"/>
      <c r="AE109"/>
    </row>
    <row r="110" spans="2:31" x14ac:dyDescent="0.2">
      <c r="X110"/>
      <c r="AA110"/>
      <c r="AB110"/>
      <c r="AC110"/>
      <c r="AD110"/>
      <c r="AE110"/>
    </row>
    <row r="111" spans="2:31" x14ac:dyDescent="0.2">
      <c r="X111"/>
      <c r="AA111"/>
      <c r="AB111"/>
      <c r="AC111"/>
      <c r="AD111"/>
      <c r="AE111"/>
    </row>
    <row r="112" spans="2:31" x14ac:dyDescent="0.2">
      <c r="X112"/>
      <c r="AA112"/>
      <c r="AB112"/>
      <c r="AC112"/>
      <c r="AD112"/>
      <c r="AE112"/>
    </row>
    <row r="113" spans="24:31" x14ac:dyDescent="0.2">
      <c r="X113"/>
      <c r="AA113"/>
      <c r="AB113"/>
      <c r="AC113"/>
      <c r="AD113"/>
      <c r="AE113"/>
    </row>
    <row r="114" spans="24:31" x14ac:dyDescent="0.2">
      <c r="X114"/>
      <c r="AA114"/>
      <c r="AB114"/>
      <c r="AC114"/>
      <c r="AD114"/>
      <c r="AE114"/>
    </row>
    <row r="115" spans="24:31" x14ac:dyDescent="0.2">
      <c r="X115"/>
      <c r="AA115"/>
      <c r="AB115"/>
      <c r="AC115"/>
      <c r="AD115"/>
      <c r="AE115"/>
    </row>
    <row r="116" spans="24:31" x14ac:dyDescent="0.2">
      <c r="AA116"/>
      <c r="AB116"/>
      <c r="AC116"/>
      <c r="AD116"/>
      <c r="AE116"/>
    </row>
    <row r="117" spans="24:31" x14ac:dyDescent="0.2">
      <c r="AA117"/>
      <c r="AB117"/>
      <c r="AC117"/>
      <c r="AD117"/>
      <c r="AE117"/>
    </row>
    <row r="118" spans="24:31" x14ac:dyDescent="0.2">
      <c r="AA118"/>
      <c r="AB118"/>
      <c r="AC118"/>
      <c r="AD118"/>
      <c r="AE118"/>
    </row>
    <row r="119" spans="24:31" x14ac:dyDescent="0.2">
      <c r="AA119"/>
      <c r="AB119"/>
      <c r="AC119"/>
      <c r="AD119"/>
      <c r="AE119"/>
    </row>
    <row r="120" spans="24:31" x14ac:dyDescent="0.2">
      <c r="AA120"/>
      <c r="AB120"/>
      <c r="AC120"/>
      <c r="AD120"/>
      <c r="AE120"/>
    </row>
    <row r="121" spans="24:31" x14ac:dyDescent="0.2">
      <c r="AA121"/>
      <c r="AB121"/>
      <c r="AC121"/>
      <c r="AD121"/>
      <c r="AE121"/>
    </row>
    <row r="122" spans="24:31" x14ac:dyDescent="0.2">
      <c r="AA122"/>
      <c r="AB122"/>
      <c r="AC122"/>
      <c r="AD122"/>
      <c r="AE122"/>
    </row>
    <row r="123" spans="24:31" x14ac:dyDescent="0.2">
      <c r="AA123"/>
      <c r="AB123"/>
      <c r="AC123"/>
      <c r="AD123"/>
      <c r="AE123"/>
    </row>
    <row r="124" spans="24:31" x14ac:dyDescent="0.2">
      <c r="AA124"/>
      <c r="AB124"/>
      <c r="AC124"/>
      <c r="AD124"/>
      <c r="AE124"/>
    </row>
    <row r="125" spans="24:31" x14ac:dyDescent="0.2">
      <c r="AA125"/>
      <c r="AB125"/>
      <c r="AC125"/>
      <c r="AD125"/>
      <c r="AE125"/>
    </row>
    <row r="126" spans="24:31" x14ac:dyDescent="0.2">
      <c r="AA126"/>
      <c r="AB126"/>
      <c r="AC126"/>
      <c r="AD126"/>
      <c r="AE126"/>
    </row>
    <row r="127" spans="24:31" x14ac:dyDescent="0.2">
      <c r="AA127"/>
      <c r="AB127"/>
      <c r="AC127"/>
      <c r="AD127"/>
      <c r="AE127"/>
    </row>
    <row r="128" spans="24:31" x14ac:dyDescent="0.2">
      <c r="AA128"/>
      <c r="AB128"/>
      <c r="AC128"/>
      <c r="AD128"/>
      <c r="AE128"/>
    </row>
    <row r="129" spans="27:31" x14ac:dyDescent="0.2">
      <c r="AA129"/>
      <c r="AB129"/>
      <c r="AC129"/>
      <c r="AD129"/>
      <c r="AE129"/>
    </row>
    <row r="130" spans="27:31" x14ac:dyDescent="0.2">
      <c r="AA130"/>
      <c r="AB130"/>
      <c r="AC130"/>
      <c r="AD130"/>
      <c r="AE130"/>
    </row>
    <row r="131" spans="27:31" x14ac:dyDescent="0.2">
      <c r="AA131"/>
      <c r="AB131"/>
      <c r="AC131"/>
      <c r="AD131"/>
      <c r="AE131"/>
    </row>
    <row r="132" spans="27:31" x14ac:dyDescent="0.2">
      <c r="AA132"/>
      <c r="AB132"/>
      <c r="AC132"/>
      <c r="AD132"/>
      <c r="AE132"/>
    </row>
    <row r="133" spans="27:31" x14ac:dyDescent="0.2">
      <c r="AA133"/>
      <c r="AB133"/>
      <c r="AC133"/>
      <c r="AD133"/>
      <c r="AE133"/>
    </row>
    <row r="134" spans="27:31" x14ac:dyDescent="0.2">
      <c r="AA134"/>
      <c r="AB134"/>
      <c r="AC134"/>
      <c r="AD134"/>
      <c r="AE134"/>
    </row>
    <row r="135" spans="27:31" x14ac:dyDescent="0.2">
      <c r="AA135"/>
      <c r="AB135"/>
      <c r="AC135"/>
      <c r="AD135"/>
      <c r="AE135"/>
    </row>
  </sheetData>
  <autoFilter ref="B4:M98" xr:uid="{9893B2CE-4BD9-824B-B687-330D5578701A}"/>
  <sortState xmlns:xlrd2="http://schemas.microsoft.com/office/spreadsheetml/2017/richdata2" ref="B53:J98">
    <sortCondition descending="1" ref="J53:J98"/>
  </sortState>
  <mergeCells count="1">
    <mergeCell ref="K3:M3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1248-D1DB-D344-B923-0B5257335F2E}">
  <dimension ref="B3:E33"/>
  <sheetViews>
    <sheetView zoomScale="125" workbookViewId="0">
      <selection activeCell="D13" sqref="D13"/>
    </sheetView>
  </sheetViews>
  <sheetFormatPr baseColWidth="10" defaultRowHeight="16" x14ac:dyDescent="0.2"/>
  <cols>
    <col min="1" max="1" width="10.83203125" style="2"/>
    <col min="2" max="2" width="20.6640625" style="2" customWidth="1"/>
    <col min="3" max="3" width="10.6640625" style="2" bestFit="1" customWidth="1"/>
    <col min="4" max="4" width="15.33203125" style="2" customWidth="1"/>
    <col min="5" max="5" width="57.83203125" style="2" bestFit="1" customWidth="1"/>
    <col min="6" max="16384" width="10.83203125" style="2"/>
  </cols>
  <sheetData>
    <row r="3" spans="2:5" ht="23" x14ac:dyDescent="0.25">
      <c r="B3" s="233" t="s">
        <v>19</v>
      </c>
      <c r="C3" s="233"/>
      <c r="D3" s="233"/>
      <c r="E3" s="233"/>
    </row>
    <row r="4" spans="2:5" ht="18" thickBot="1" x14ac:dyDescent="0.25">
      <c r="B4" s="10" t="s">
        <v>1</v>
      </c>
      <c r="C4" s="1" t="s">
        <v>2</v>
      </c>
      <c r="D4" s="1" t="s">
        <v>3</v>
      </c>
      <c r="E4" s="1" t="s">
        <v>4</v>
      </c>
    </row>
    <row r="5" spans="2:5" ht="17" x14ac:dyDescent="0.2">
      <c r="B5" s="9" t="s">
        <v>20</v>
      </c>
      <c r="C5" s="2" t="s">
        <v>12</v>
      </c>
      <c r="D5" s="5">
        <v>0.9</v>
      </c>
      <c r="E5" s="2" t="s">
        <v>21</v>
      </c>
    </row>
    <row r="6" spans="2:5" ht="17" x14ac:dyDescent="0.2">
      <c r="B6" s="9" t="s">
        <v>22</v>
      </c>
      <c r="C6" s="2" t="s">
        <v>23</v>
      </c>
      <c r="D6" s="4">
        <f>D5*'Input Parameters'!D10</f>
        <v>738284.30280000006</v>
      </c>
      <c r="E6" s="2" t="s">
        <v>13</v>
      </c>
    </row>
    <row r="7" spans="2:5" ht="34" x14ac:dyDescent="0.2">
      <c r="B7" s="9" t="s">
        <v>45</v>
      </c>
      <c r="C7" s="2" t="s">
        <v>46</v>
      </c>
      <c r="D7" s="4">
        <f>D6/(8760*'Input Parameters'!D6)</f>
        <v>92.31</v>
      </c>
      <c r="E7" s="2" t="s">
        <v>13</v>
      </c>
    </row>
    <row r="8" spans="2:5" x14ac:dyDescent="0.2">
      <c r="B8" s="9"/>
    </row>
    <row r="9" spans="2:5" ht="23" x14ac:dyDescent="0.25">
      <c r="B9" s="233" t="s">
        <v>24</v>
      </c>
      <c r="C9" s="233"/>
      <c r="D9" s="233"/>
      <c r="E9" s="233"/>
    </row>
    <row r="10" spans="2:5" ht="18" thickBot="1" x14ac:dyDescent="0.25">
      <c r="B10" s="10" t="s">
        <v>1</v>
      </c>
      <c r="C10" s="1" t="s">
        <v>2</v>
      </c>
      <c r="D10" s="1" t="s">
        <v>3</v>
      </c>
      <c r="E10" s="1" t="s">
        <v>4</v>
      </c>
    </row>
    <row r="11" spans="2:5" ht="17" x14ac:dyDescent="0.2">
      <c r="B11" s="9" t="s">
        <v>25</v>
      </c>
      <c r="C11" s="2" t="s">
        <v>52</v>
      </c>
      <c r="D11" s="2">
        <v>0.83299999999999996</v>
      </c>
      <c r="E11" s="2" t="s">
        <v>51</v>
      </c>
    </row>
    <row r="12" spans="2:5" ht="17" x14ac:dyDescent="0.2">
      <c r="B12" s="9" t="s">
        <v>749</v>
      </c>
      <c r="C12" s="2" t="s">
        <v>12</v>
      </c>
      <c r="D12" s="5">
        <v>0.9</v>
      </c>
      <c r="E12" s="18" t="s">
        <v>8</v>
      </c>
    </row>
    <row r="13" spans="2:5" ht="17" x14ac:dyDescent="0.2">
      <c r="B13" s="9" t="s">
        <v>26</v>
      </c>
      <c r="C13" s="2" t="s">
        <v>52</v>
      </c>
      <c r="D13" s="2">
        <v>2.5000000000000001E-2</v>
      </c>
      <c r="E13" s="2" t="s">
        <v>51</v>
      </c>
    </row>
    <row r="14" spans="2:5" ht="17" x14ac:dyDescent="0.2">
      <c r="B14" s="9" t="s">
        <v>27</v>
      </c>
      <c r="C14" s="2" t="s">
        <v>50</v>
      </c>
      <c r="D14" s="2">
        <v>0.3</v>
      </c>
      <c r="E14" s="2" t="s">
        <v>51</v>
      </c>
    </row>
    <row r="15" spans="2:5" x14ac:dyDescent="0.2">
      <c r="B15" s="9"/>
    </row>
    <row r="16" spans="2:5" ht="23" x14ac:dyDescent="0.25">
      <c r="B16" s="233" t="s">
        <v>128</v>
      </c>
      <c r="C16" s="233"/>
      <c r="D16" s="233"/>
      <c r="E16" s="233"/>
    </row>
    <row r="17" spans="2:5" ht="18" thickBot="1" x14ac:dyDescent="0.25">
      <c r="B17" s="10" t="s">
        <v>1</v>
      </c>
      <c r="C17" s="1" t="s">
        <v>2</v>
      </c>
      <c r="D17" s="1" t="s">
        <v>3</v>
      </c>
      <c r="E17" s="1" t="s">
        <v>4</v>
      </c>
    </row>
    <row r="18" spans="2:5" ht="34" x14ac:dyDescent="0.2">
      <c r="B18" s="9" t="s">
        <v>28</v>
      </c>
      <c r="C18" s="2" t="s">
        <v>12</v>
      </c>
      <c r="D18" s="5">
        <v>0.04</v>
      </c>
      <c r="E18" s="2" t="s">
        <v>30</v>
      </c>
    </row>
    <row r="19" spans="2:5" ht="34" x14ac:dyDescent="0.2">
      <c r="B19" s="9" t="s">
        <v>29</v>
      </c>
      <c r="C19" s="2" t="s">
        <v>12</v>
      </c>
      <c r="D19" s="5">
        <v>0.96</v>
      </c>
      <c r="E19" s="2" t="s">
        <v>30</v>
      </c>
    </row>
    <row r="20" spans="2:5" ht="34" x14ac:dyDescent="0.2">
      <c r="B20" s="9" t="s">
        <v>31</v>
      </c>
      <c r="C20" s="2" t="s">
        <v>36</v>
      </c>
      <c r="D20" s="6">
        <f>D11*D6*D18</f>
        <v>24599.632969296003</v>
      </c>
      <c r="E20" s="2" t="s">
        <v>13</v>
      </c>
    </row>
    <row r="21" spans="2:5" ht="34" x14ac:dyDescent="0.2">
      <c r="B21" s="9" t="s">
        <v>32</v>
      </c>
      <c r="C21" s="2" t="s">
        <v>36</v>
      </c>
      <c r="D21" s="6">
        <f>D11*D6*D19</f>
        <v>590391.19126310397</v>
      </c>
      <c r="E21" s="2" t="s">
        <v>13</v>
      </c>
    </row>
    <row r="22" spans="2:5" ht="34" x14ac:dyDescent="0.2">
      <c r="B22" s="9" t="s">
        <v>34</v>
      </c>
      <c r="C22" s="2" t="s">
        <v>36</v>
      </c>
      <c r="D22" s="6">
        <f>D21/D12</f>
        <v>655990.21251455997</v>
      </c>
      <c r="E22" s="2" t="s">
        <v>13</v>
      </c>
    </row>
    <row r="23" spans="2:5" x14ac:dyDescent="0.2">
      <c r="B23" s="9"/>
    </row>
    <row r="24" spans="2:5" ht="23" x14ac:dyDescent="0.25">
      <c r="B24" s="233" t="s">
        <v>33</v>
      </c>
      <c r="C24" s="233"/>
      <c r="D24" s="233"/>
      <c r="E24" s="233"/>
    </row>
    <row r="25" spans="2:5" ht="18" thickBot="1" x14ac:dyDescent="0.25">
      <c r="B25" s="10" t="s">
        <v>1</v>
      </c>
      <c r="C25" s="1" t="s">
        <v>2</v>
      </c>
      <c r="D25" s="1" t="s">
        <v>3</v>
      </c>
      <c r="E25" s="1" t="s">
        <v>4</v>
      </c>
    </row>
    <row r="26" spans="2:5" ht="34" x14ac:dyDescent="0.2">
      <c r="B26" s="9" t="s">
        <v>35</v>
      </c>
      <c r="C26" s="2" t="s">
        <v>37</v>
      </c>
      <c r="D26" s="4">
        <f>D13*D6</f>
        <v>18457.107570000004</v>
      </c>
      <c r="E26" s="2" t="s">
        <v>13</v>
      </c>
    </row>
    <row r="27" spans="2:5" x14ac:dyDescent="0.2">
      <c r="B27" s="9"/>
    </row>
    <row r="29" spans="2:5" ht="23" x14ac:dyDescent="0.25">
      <c r="B29" s="233" t="s">
        <v>150</v>
      </c>
      <c r="C29" s="233"/>
      <c r="D29" s="233"/>
      <c r="E29" s="233"/>
    </row>
    <row r="30" spans="2:5" ht="18" thickBot="1" x14ac:dyDescent="0.25">
      <c r="B30" s="10" t="s">
        <v>1</v>
      </c>
      <c r="C30" s="1" t="s">
        <v>2</v>
      </c>
      <c r="D30" s="1" t="s">
        <v>3</v>
      </c>
      <c r="E30" s="1" t="s">
        <v>4</v>
      </c>
    </row>
    <row r="31" spans="2:5" ht="34" x14ac:dyDescent="0.2">
      <c r="B31" s="9" t="s">
        <v>751</v>
      </c>
      <c r="C31" s="2" t="s">
        <v>23</v>
      </c>
      <c r="D31" s="4">
        <f>D22*'Input Parameters'!D20</f>
        <v>131198.04250291199</v>
      </c>
      <c r="E31" s="2" t="s">
        <v>13</v>
      </c>
    </row>
    <row r="32" spans="2:5" ht="34" x14ac:dyDescent="0.2">
      <c r="B32" s="9" t="s">
        <v>750</v>
      </c>
      <c r="C32" s="2" t="s">
        <v>23</v>
      </c>
      <c r="D32" s="4">
        <f>IF('Cost of CO2 Avoided'!C37="Germany",D26*'Input Parameters'!D19,D26*'Input Parameters'!D18)</f>
        <v>5500.2180558600012</v>
      </c>
      <c r="E32" s="2" t="s">
        <v>13</v>
      </c>
    </row>
    <row r="33" spans="2:5" ht="34" x14ac:dyDescent="0.2">
      <c r="B33" s="9" t="s">
        <v>151</v>
      </c>
      <c r="C33" s="2" t="s">
        <v>23</v>
      </c>
      <c r="D33" s="4">
        <f>D6*'Input Parameters'!D31</f>
        <v>19195.391872799999</v>
      </c>
      <c r="E33" s="2" t="s">
        <v>13</v>
      </c>
    </row>
  </sheetData>
  <mergeCells count="5">
    <mergeCell ref="B3:E3"/>
    <mergeCell ref="B9:E9"/>
    <mergeCell ref="B16:E16"/>
    <mergeCell ref="B24:E24"/>
    <mergeCell ref="B29:E29"/>
  </mergeCells>
  <phoneticPr fontId="9" type="noConversion"/>
  <hyperlinks>
    <hyperlink ref="E12" r:id="rId1" display="https://www.sciencedirect.com/topics/engineering/boiler-efficiency" xr:uid="{1BE74972-09C8-B344-87AB-87C965EB0ED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69E0-F292-FC4C-BA90-59E7E17BEF8B}">
  <dimension ref="B2:BJ227"/>
  <sheetViews>
    <sheetView zoomScale="112" workbookViewId="0">
      <selection activeCell="D8" sqref="D8"/>
    </sheetView>
  </sheetViews>
  <sheetFormatPr baseColWidth="10" defaultRowHeight="16" x14ac:dyDescent="0.2"/>
  <cols>
    <col min="1" max="1" width="10.83203125" style="2"/>
    <col min="2" max="2" width="19.6640625" style="2" bestFit="1" customWidth="1"/>
    <col min="3" max="3" width="10.83203125" style="2"/>
    <col min="4" max="4" width="49.5" style="2" bestFit="1" customWidth="1"/>
    <col min="5" max="16384" width="10.83203125" style="2"/>
  </cols>
  <sheetData>
    <row r="2" spans="2:62" ht="20" x14ac:dyDescent="0.2">
      <c r="B2" s="236" t="s">
        <v>738</v>
      </c>
      <c r="C2" s="236"/>
      <c r="D2" s="236"/>
    </row>
    <row r="3" spans="2:62" x14ac:dyDescent="0.2">
      <c r="D3" s="2" t="s">
        <v>4</v>
      </c>
    </row>
    <row r="4" spans="2:62" x14ac:dyDescent="0.2">
      <c r="B4" s="2" t="s">
        <v>177</v>
      </c>
      <c r="C4" s="8">
        <f>MIN(G14:G226)</f>
        <v>59.76</v>
      </c>
    </row>
    <row r="5" spans="2:62" x14ac:dyDescent="0.2">
      <c r="B5" s="2" t="s">
        <v>176</v>
      </c>
      <c r="C5" s="8">
        <f>MEDIAN(G14:G226)</f>
        <v>72.16</v>
      </c>
      <c r="D5" s="2" t="s">
        <v>737</v>
      </c>
    </row>
    <row r="6" spans="2:62" x14ac:dyDescent="0.2">
      <c r="B6" s="2" t="s">
        <v>178</v>
      </c>
      <c r="C6" s="8">
        <f>MAX(G14:G226)</f>
        <v>84.6</v>
      </c>
    </row>
    <row r="7" spans="2:62" x14ac:dyDescent="0.2">
      <c r="B7" s="2" t="s">
        <v>179</v>
      </c>
      <c r="C7" s="2">
        <v>124</v>
      </c>
      <c r="D7" s="18" t="s">
        <v>384</v>
      </c>
    </row>
    <row r="10" spans="2:62" x14ac:dyDescent="0.2">
      <c r="B10" s="240" t="s">
        <v>199</v>
      </c>
      <c r="C10" s="241"/>
      <c r="D10" s="242" t="str">
        <f>HYPERLINK("https://www.eex.com/en/markets/environmental-markets/emissions-auctions","https://www.eex.com/en/markets/environmental-markets/emissions-auctions")</f>
        <v>https://www.eex.com/en/markets/environmental-markets/emissions-auctions</v>
      </c>
      <c r="E10" s="241"/>
      <c r="F10" s="241"/>
      <c r="G10" s="241"/>
      <c r="H10" s="241"/>
      <c r="I10" s="241"/>
      <c r="J10" s="24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61"/>
      <c r="BE10" s="161"/>
      <c r="BF10" s="161"/>
      <c r="BG10" s="161"/>
      <c r="BH10" s="161"/>
      <c r="BI10" s="161"/>
      <c r="BJ10" s="161"/>
    </row>
    <row r="11" spans="2:62" x14ac:dyDescent="0.2">
      <c r="B11" s="243" t="s">
        <v>200</v>
      </c>
      <c r="C11" s="241"/>
      <c r="D11" s="241"/>
      <c r="E11" s="241"/>
      <c r="F11" s="241"/>
      <c r="G11" s="241"/>
      <c r="H11" s="241"/>
      <c r="I11" s="241"/>
      <c r="J11" s="241"/>
      <c r="K11" s="241"/>
      <c r="L11" s="243" t="s">
        <v>201</v>
      </c>
      <c r="M11" s="241"/>
      <c r="N11" s="241"/>
      <c r="O11" s="241"/>
      <c r="P11" s="241"/>
      <c r="Q11" s="241"/>
      <c r="R11" s="241"/>
      <c r="S11" s="241"/>
      <c r="T11" s="241"/>
      <c r="U11" s="241"/>
      <c r="V11" s="243" t="s">
        <v>200</v>
      </c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</row>
    <row r="12" spans="2:62" x14ac:dyDescent="0.2">
      <c r="B12" s="237" t="s">
        <v>202</v>
      </c>
      <c r="C12" s="238"/>
      <c r="D12" s="238"/>
      <c r="E12" s="238"/>
      <c r="F12" s="238"/>
      <c r="G12" s="237" t="s">
        <v>203</v>
      </c>
      <c r="H12" s="238"/>
      <c r="I12" s="238"/>
      <c r="J12" s="238"/>
      <c r="K12" s="238"/>
      <c r="L12" s="237" t="s">
        <v>204</v>
      </c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7" t="s">
        <v>205</v>
      </c>
      <c r="X12" s="238"/>
      <c r="Y12" s="237" t="s">
        <v>206</v>
      </c>
      <c r="Z12" s="238"/>
      <c r="AA12" s="237" t="s">
        <v>206</v>
      </c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9"/>
    </row>
    <row r="13" spans="2:62" ht="57" thickBot="1" x14ac:dyDescent="0.25">
      <c r="B13" s="162" t="s">
        <v>207</v>
      </c>
      <c r="C13" s="162" t="s">
        <v>208</v>
      </c>
      <c r="D13" s="162" t="s">
        <v>209</v>
      </c>
      <c r="E13" s="162" t="s">
        <v>210</v>
      </c>
      <c r="F13" s="162" t="s">
        <v>211</v>
      </c>
      <c r="G13" s="162" t="s">
        <v>212</v>
      </c>
      <c r="H13" s="162" t="s">
        <v>213</v>
      </c>
      <c r="I13" s="162" t="s">
        <v>214</v>
      </c>
      <c r="J13" s="162" t="s">
        <v>215</v>
      </c>
      <c r="K13" s="162" t="s">
        <v>216</v>
      </c>
      <c r="L13" s="162" t="s">
        <v>217</v>
      </c>
      <c r="M13" s="162" t="s">
        <v>218</v>
      </c>
      <c r="N13" s="162" t="s">
        <v>219</v>
      </c>
      <c r="O13" s="162" t="s">
        <v>220</v>
      </c>
      <c r="P13" s="162" t="s">
        <v>221</v>
      </c>
      <c r="Q13" s="162" t="s">
        <v>222</v>
      </c>
      <c r="R13" s="162" t="s">
        <v>223</v>
      </c>
      <c r="S13" s="162" t="s">
        <v>224</v>
      </c>
      <c r="T13" s="162" t="s">
        <v>225</v>
      </c>
      <c r="U13" s="162" t="s">
        <v>226</v>
      </c>
      <c r="V13" s="162" t="s">
        <v>227</v>
      </c>
      <c r="W13" s="162" t="s">
        <v>228</v>
      </c>
      <c r="X13" s="162" t="s">
        <v>229</v>
      </c>
      <c r="Y13" s="162" t="s">
        <v>230</v>
      </c>
      <c r="Z13" s="162" t="s">
        <v>142</v>
      </c>
      <c r="AA13" s="162" t="s">
        <v>231</v>
      </c>
      <c r="AB13" s="162" t="s">
        <v>232</v>
      </c>
      <c r="AC13" s="162" t="s">
        <v>233</v>
      </c>
      <c r="AD13" s="162" t="s">
        <v>234</v>
      </c>
      <c r="AE13" s="162" t="s">
        <v>235</v>
      </c>
      <c r="AF13" s="162" t="s">
        <v>236</v>
      </c>
      <c r="AG13" s="162" t="s">
        <v>237</v>
      </c>
      <c r="AH13" s="162" t="s">
        <v>238</v>
      </c>
      <c r="AI13" s="162" t="s">
        <v>239</v>
      </c>
      <c r="AJ13" s="162" t="s">
        <v>240</v>
      </c>
      <c r="AK13" s="162" t="s">
        <v>241</v>
      </c>
      <c r="AL13" s="162" t="s">
        <v>242</v>
      </c>
      <c r="AM13" s="162" t="s">
        <v>243</v>
      </c>
      <c r="AN13" s="162" t="s">
        <v>244</v>
      </c>
      <c r="AO13" s="162" t="s">
        <v>245</v>
      </c>
      <c r="AP13" s="162" t="s">
        <v>246</v>
      </c>
      <c r="AQ13" s="162" t="s">
        <v>247</v>
      </c>
      <c r="AR13" s="162" t="s">
        <v>248</v>
      </c>
      <c r="AS13" s="162" t="s">
        <v>249</v>
      </c>
      <c r="AT13" s="162" t="s">
        <v>250</v>
      </c>
      <c r="AU13" s="162" t="s">
        <v>251</v>
      </c>
      <c r="AV13" s="162" t="s">
        <v>252</v>
      </c>
      <c r="AW13" s="162" t="s">
        <v>253</v>
      </c>
      <c r="AX13" s="162" t="s">
        <v>254</v>
      </c>
      <c r="AY13" s="162" t="s">
        <v>255</v>
      </c>
      <c r="AZ13" s="162" t="s">
        <v>256</v>
      </c>
      <c r="BA13" s="162" t="s">
        <v>257</v>
      </c>
      <c r="BB13" s="162" t="s">
        <v>258</v>
      </c>
      <c r="BC13" s="162" t="s">
        <v>259</v>
      </c>
      <c r="BD13" s="162" t="s">
        <v>260</v>
      </c>
      <c r="BE13" s="162" t="s">
        <v>261</v>
      </c>
      <c r="BF13" s="162" t="s">
        <v>262</v>
      </c>
      <c r="BG13" s="162" t="s">
        <v>263</v>
      </c>
      <c r="BH13" s="162" t="s">
        <v>264</v>
      </c>
      <c r="BI13" s="162" t="s">
        <v>265</v>
      </c>
      <c r="BJ13" s="162" t="s">
        <v>266</v>
      </c>
    </row>
    <row r="14" spans="2:62" ht="17" thickTop="1" x14ac:dyDescent="0.2">
      <c r="B14" s="163">
        <v>46006</v>
      </c>
      <c r="C14" s="164">
        <v>46006.45871136574</v>
      </c>
      <c r="D14" s="165" t="s">
        <v>267</v>
      </c>
      <c r="E14" s="166" t="s">
        <v>268</v>
      </c>
      <c r="F14" s="167" t="s">
        <v>269</v>
      </c>
      <c r="G14" s="168">
        <v>84.6</v>
      </c>
      <c r="H14" s="169">
        <v>64</v>
      </c>
      <c r="I14" s="169">
        <v>90</v>
      </c>
      <c r="J14" s="169">
        <v>84.04</v>
      </c>
      <c r="K14" s="170">
        <v>84.32</v>
      </c>
      <c r="L14" s="171">
        <v>3273000</v>
      </c>
      <c r="M14" s="172">
        <v>5084000</v>
      </c>
      <c r="N14" s="172">
        <v>100</v>
      </c>
      <c r="O14" s="172">
        <v>31</v>
      </c>
      <c r="P14" s="169">
        <v>4</v>
      </c>
      <c r="Q14" s="172">
        <v>50840</v>
      </c>
      <c r="R14" s="172">
        <v>203360</v>
      </c>
      <c r="S14" s="172">
        <v>310008</v>
      </c>
      <c r="T14" s="172">
        <v>181833</v>
      </c>
      <c r="U14" s="172">
        <v>309586</v>
      </c>
      <c r="V14" s="170">
        <v>1.55</v>
      </c>
      <c r="W14" s="171">
        <v>25</v>
      </c>
      <c r="X14" s="173">
        <v>18</v>
      </c>
      <c r="Y14" s="171">
        <v>276895800</v>
      </c>
      <c r="Z14" s="167" t="s">
        <v>270</v>
      </c>
      <c r="AA14" s="171">
        <v>3045600</v>
      </c>
      <c r="AB14" s="172">
        <v>3722400</v>
      </c>
      <c r="AC14" s="172">
        <v>5795100</v>
      </c>
      <c r="AD14" s="172">
        <v>1776600</v>
      </c>
      <c r="AE14" s="172">
        <v>2157300</v>
      </c>
      <c r="AF14" s="165" t="s">
        <v>200</v>
      </c>
      <c r="AG14" s="172">
        <v>1988100</v>
      </c>
      <c r="AH14" s="172">
        <v>2241900</v>
      </c>
      <c r="AI14" s="172">
        <v>9855900</v>
      </c>
      <c r="AJ14" s="172">
        <v>21742200</v>
      </c>
      <c r="AK14" s="172">
        <v>1903500</v>
      </c>
      <c r="AL14" s="172">
        <v>11294100</v>
      </c>
      <c r="AM14" s="172">
        <v>253800</v>
      </c>
      <c r="AN14" s="172">
        <v>2538000</v>
      </c>
      <c r="AO14" s="172">
        <v>84600</v>
      </c>
      <c r="AP14" s="172">
        <v>20134800</v>
      </c>
      <c r="AQ14" s="172">
        <v>1480500</v>
      </c>
      <c r="AR14" s="172">
        <v>20177100</v>
      </c>
      <c r="AS14" s="172">
        <v>34263000</v>
      </c>
      <c r="AT14" s="172">
        <v>42300</v>
      </c>
      <c r="AU14" s="172">
        <v>1015200</v>
      </c>
      <c r="AV14" s="172">
        <v>0</v>
      </c>
      <c r="AW14" s="172">
        <v>846000</v>
      </c>
      <c r="AX14" s="172">
        <v>53171100</v>
      </c>
      <c r="AY14" s="172">
        <v>1099800</v>
      </c>
      <c r="AZ14" s="172">
        <v>22842000</v>
      </c>
      <c r="BA14" s="172">
        <v>7191000</v>
      </c>
      <c r="BB14" s="172">
        <v>676800</v>
      </c>
      <c r="BC14" s="165" t="s">
        <v>200</v>
      </c>
      <c r="BD14" s="172">
        <v>4949100</v>
      </c>
      <c r="BE14" s="172">
        <v>4018500</v>
      </c>
      <c r="BF14" s="172">
        <v>2072700</v>
      </c>
      <c r="BG14" s="172">
        <v>31132800</v>
      </c>
      <c r="BH14" s="172">
        <v>761400</v>
      </c>
      <c r="BI14" s="172">
        <v>2622600</v>
      </c>
      <c r="BJ14" s="174" t="s">
        <v>200</v>
      </c>
    </row>
    <row r="15" spans="2:62" x14ac:dyDescent="0.2">
      <c r="B15" s="175">
        <v>46003</v>
      </c>
      <c r="C15" s="176">
        <v>46003.45853452546</v>
      </c>
      <c r="D15" s="177" t="s">
        <v>271</v>
      </c>
      <c r="E15" s="178" t="s">
        <v>268</v>
      </c>
      <c r="F15" s="179" t="s">
        <v>269</v>
      </c>
      <c r="G15" s="180">
        <v>83.65</v>
      </c>
      <c r="H15" s="181">
        <v>64</v>
      </c>
      <c r="I15" s="181">
        <v>150</v>
      </c>
      <c r="J15" s="181">
        <v>84.73</v>
      </c>
      <c r="K15" s="182">
        <v>83.45</v>
      </c>
      <c r="L15" s="183">
        <v>1696000</v>
      </c>
      <c r="M15" s="184">
        <v>3492000</v>
      </c>
      <c r="N15" s="184">
        <v>75</v>
      </c>
      <c r="O15" s="184">
        <v>23</v>
      </c>
      <c r="P15" s="181">
        <v>3</v>
      </c>
      <c r="Q15" s="184">
        <v>46560</v>
      </c>
      <c r="R15" s="184">
        <v>139680</v>
      </c>
      <c r="S15" s="184">
        <v>156013</v>
      </c>
      <c r="T15" s="184">
        <v>113067</v>
      </c>
      <c r="U15" s="184">
        <v>140961</v>
      </c>
      <c r="V15" s="182">
        <v>2.06</v>
      </c>
      <c r="W15" s="183">
        <v>25</v>
      </c>
      <c r="X15" s="185">
        <v>15</v>
      </c>
      <c r="Y15" s="183">
        <v>141870400</v>
      </c>
      <c r="Z15" s="179" t="s">
        <v>272</v>
      </c>
      <c r="AA15" s="186" t="s">
        <v>200</v>
      </c>
      <c r="AB15" s="177" t="s">
        <v>200</v>
      </c>
      <c r="AC15" s="177" t="s">
        <v>200</v>
      </c>
      <c r="AD15" s="177" t="s">
        <v>200</v>
      </c>
      <c r="AE15" s="177" t="s">
        <v>200</v>
      </c>
      <c r="AF15" s="184">
        <v>141870400</v>
      </c>
      <c r="AG15" s="177" t="s">
        <v>200</v>
      </c>
      <c r="AH15" s="177" t="s">
        <v>200</v>
      </c>
      <c r="AI15" s="177" t="s">
        <v>200</v>
      </c>
      <c r="AJ15" s="177" t="s">
        <v>200</v>
      </c>
      <c r="AK15" s="177" t="s">
        <v>200</v>
      </c>
      <c r="AL15" s="177" t="s">
        <v>200</v>
      </c>
      <c r="AM15" s="177" t="s">
        <v>200</v>
      </c>
      <c r="AN15" s="177" t="s">
        <v>200</v>
      </c>
      <c r="AO15" s="177" t="s">
        <v>200</v>
      </c>
      <c r="AP15" s="177" t="s">
        <v>200</v>
      </c>
      <c r="AQ15" s="177" t="s">
        <v>200</v>
      </c>
      <c r="AR15" s="177" t="s">
        <v>200</v>
      </c>
      <c r="AS15" s="177" t="s">
        <v>200</v>
      </c>
      <c r="AT15" s="177" t="s">
        <v>200</v>
      </c>
      <c r="AU15" s="177" t="s">
        <v>200</v>
      </c>
      <c r="AV15" s="177" t="s">
        <v>200</v>
      </c>
      <c r="AW15" s="177" t="s">
        <v>200</v>
      </c>
      <c r="AX15" s="177" t="s">
        <v>200</v>
      </c>
      <c r="AY15" s="177" t="s">
        <v>200</v>
      </c>
      <c r="AZ15" s="177" t="s">
        <v>200</v>
      </c>
      <c r="BA15" s="177" t="s">
        <v>200</v>
      </c>
      <c r="BB15" s="177" t="s">
        <v>200</v>
      </c>
      <c r="BC15" s="177" t="s">
        <v>200</v>
      </c>
      <c r="BD15" s="177" t="s">
        <v>200</v>
      </c>
      <c r="BE15" s="177" t="s">
        <v>200</v>
      </c>
      <c r="BF15" s="177" t="s">
        <v>200</v>
      </c>
      <c r="BG15" s="177" t="s">
        <v>200</v>
      </c>
      <c r="BH15" s="177" t="s">
        <v>200</v>
      </c>
      <c r="BI15" s="177" t="s">
        <v>200</v>
      </c>
      <c r="BJ15" s="187" t="s">
        <v>200</v>
      </c>
    </row>
    <row r="16" spans="2:62" x14ac:dyDescent="0.2">
      <c r="B16" s="175">
        <v>46002</v>
      </c>
      <c r="C16" s="176">
        <v>46002.458673483794</v>
      </c>
      <c r="D16" s="177" t="s">
        <v>267</v>
      </c>
      <c r="E16" s="178" t="s">
        <v>268</v>
      </c>
      <c r="F16" s="179" t="s">
        <v>269</v>
      </c>
      <c r="G16" s="180">
        <v>83.77</v>
      </c>
      <c r="H16" s="181">
        <v>64</v>
      </c>
      <c r="I16" s="181">
        <v>150</v>
      </c>
      <c r="J16" s="181">
        <v>84.51</v>
      </c>
      <c r="K16" s="182">
        <v>83.48</v>
      </c>
      <c r="L16" s="183">
        <v>3268000</v>
      </c>
      <c r="M16" s="184">
        <v>5580000</v>
      </c>
      <c r="N16" s="184">
        <v>97</v>
      </c>
      <c r="O16" s="184">
        <v>23</v>
      </c>
      <c r="P16" s="181">
        <v>3.73</v>
      </c>
      <c r="Q16" s="184">
        <v>57526</v>
      </c>
      <c r="R16" s="184">
        <v>214615</v>
      </c>
      <c r="S16" s="184">
        <v>295689</v>
      </c>
      <c r="T16" s="184">
        <v>217867</v>
      </c>
      <c r="U16" s="184">
        <v>322382</v>
      </c>
      <c r="V16" s="182">
        <v>1.71</v>
      </c>
      <c r="W16" s="183">
        <v>26</v>
      </c>
      <c r="X16" s="185">
        <v>15</v>
      </c>
      <c r="Y16" s="183">
        <v>273760360</v>
      </c>
      <c r="Z16" s="179" t="s">
        <v>270</v>
      </c>
      <c r="AA16" s="183">
        <v>2429330</v>
      </c>
      <c r="AB16" s="184">
        <v>4230385</v>
      </c>
      <c r="AC16" s="184">
        <v>6869140</v>
      </c>
      <c r="AD16" s="184">
        <v>879585</v>
      </c>
      <c r="AE16" s="184">
        <v>4523580</v>
      </c>
      <c r="AF16" s="177" t="s">
        <v>200</v>
      </c>
      <c r="AG16" s="184">
        <v>2387445</v>
      </c>
      <c r="AH16" s="184">
        <v>2094250</v>
      </c>
      <c r="AI16" s="184">
        <v>9298470</v>
      </c>
      <c r="AJ16" s="184">
        <v>21193810</v>
      </c>
      <c r="AK16" s="184">
        <v>3350800</v>
      </c>
      <c r="AL16" s="184">
        <v>12565500</v>
      </c>
      <c r="AM16" s="184">
        <v>963355</v>
      </c>
      <c r="AN16" s="184">
        <v>3602110</v>
      </c>
      <c r="AO16" s="184">
        <v>1005240</v>
      </c>
      <c r="AP16" s="184">
        <v>20900615</v>
      </c>
      <c r="AQ16" s="184">
        <v>41885</v>
      </c>
      <c r="AR16" s="184">
        <v>21110040</v>
      </c>
      <c r="AS16" s="184">
        <v>30659820</v>
      </c>
      <c r="AT16" s="184">
        <v>0</v>
      </c>
      <c r="AU16" s="184">
        <v>670160</v>
      </c>
      <c r="AV16" s="184">
        <v>0</v>
      </c>
      <c r="AW16" s="184">
        <v>544505</v>
      </c>
      <c r="AX16" s="184">
        <v>52104940</v>
      </c>
      <c r="AY16" s="184">
        <v>418850</v>
      </c>
      <c r="AZ16" s="184">
        <v>20439880</v>
      </c>
      <c r="BA16" s="184">
        <v>7497415</v>
      </c>
      <c r="BB16" s="184">
        <v>1633515</v>
      </c>
      <c r="BC16" s="177" t="s">
        <v>200</v>
      </c>
      <c r="BD16" s="184">
        <v>4439810</v>
      </c>
      <c r="BE16" s="184">
        <v>3685880</v>
      </c>
      <c r="BF16" s="184">
        <v>1465975</v>
      </c>
      <c r="BG16" s="184">
        <v>29487040</v>
      </c>
      <c r="BH16" s="184">
        <v>1089010</v>
      </c>
      <c r="BI16" s="184">
        <v>2178020</v>
      </c>
      <c r="BJ16" s="187" t="s">
        <v>200</v>
      </c>
    </row>
    <row r="17" spans="2:62" x14ac:dyDescent="0.2">
      <c r="B17" s="175">
        <v>46001</v>
      </c>
      <c r="C17" s="176">
        <v>46001.458621493053</v>
      </c>
      <c r="D17" s="177" t="s">
        <v>273</v>
      </c>
      <c r="E17" s="178" t="s">
        <v>268</v>
      </c>
      <c r="F17" s="179" t="s">
        <v>269</v>
      </c>
      <c r="G17" s="180">
        <v>82.18</v>
      </c>
      <c r="H17" s="181">
        <v>64</v>
      </c>
      <c r="I17" s="181">
        <v>85</v>
      </c>
      <c r="J17" s="181">
        <v>81.8</v>
      </c>
      <c r="K17" s="182">
        <v>82.12</v>
      </c>
      <c r="L17" s="183">
        <v>2166000</v>
      </c>
      <c r="M17" s="184">
        <v>3405500</v>
      </c>
      <c r="N17" s="184">
        <v>84</v>
      </c>
      <c r="O17" s="184">
        <v>37</v>
      </c>
      <c r="P17" s="181">
        <v>3.65</v>
      </c>
      <c r="Q17" s="184">
        <v>40542</v>
      </c>
      <c r="R17" s="184">
        <v>148065</v>
      </c>
      <c r="S17" s="184">
        <v>175481</v>
      </c>
      <c r="T17" s="184">
        <v>103143</v>
      </c>
      <c r="U17" s="184">
        <v>145787</v>
      </c>
      <c r="V17" s="182">
        <v>1.57</v>
      </c>
      <c r="W17" s="183">
        <v>23</v>
      </c>
      <c r="X17" s="185">
        <v>21</v>
      </c>
      <c r="Y17" s="183">
        <v>178001880</v>
      </c>
      <c r="Z17" s="179" t="s">
        <v>274</v>
      </c>
      <c r="AA17" s="186" t="s">
        <v>200</v>
      </c>
      <c r="AB17" s="177" t="s">
        <v>200</v>
      </c>
      <c r="AC17" s="177" t="s">
        <v>200</v>
      </c>
      <c r="AD17" s="177" t="s">
        <v>200</v>
      </c>
      <c r="AE17" s="177" t="s">
        <v>200</v>
      </c>
      <c r="AF17" s="177" t="s">
        <v>200</v>
      </c>
      <c r="AG17" s="177" t="s">
        <v>200</v>
      </c>
      <c r="AH17" s="177" t="s">
        <v>200</v>
      </c>
      <c r="AI17" s="177" t="s">
        <v>200</v>
      </c>
      <c r="AJ17" s="177" t="s">
        <v>200</v>
      </c>
      <c r="AK17" s="177" t="s">
        <v>200</v>
      </c>
      <c r="AL17" s="177" t="s">
        <v>200</v>
      </c>
      <c r="AM17" s="177" t="s">
        <v>200</v>
      </c>
      <c r="AN17" s="177" t="s">
        <v>200</v>
      </c>
      <c r="AO17" s="177" t="s">
        <v>200</v>
      </c>
      <c r="AP17" s="177" t="s">
        <v>200</v>
      </c>
      <c r="AQ17" s="177" t="s">
        <v>200</v>
      </c>
      <c r="AR17" s="177" t="s">
        <v>200</v>
      </c>
      <c r="AS17" s="177" t="s">
        <v>200</v>
      </c>
      <c r="AT17" s="177" t="s">
        <v>200</v>
      </c>
      <c r="AU17" s="177" t="s">
        <v>200</v>
      </c>
      <c r="AV17" s="177" t="s">
        <v>200</v>
      </c>
      <c r="AW17" s="177" t="s">
        <v>200</v>
      </c>
      <c r="AX17" s="177" t="s">
        <v>200</v>
      </c>
      <c r="AY17" s="177" t="s">
        <v>200</v>
      </c>
      <c r="AZ17" s="177" t="s">
        <v>200</v>
      </c>
      <c r="BA17" s="177" t="s">
        <v>200</v>
      </c>
      <c r="BB17" s="177" t="s">
        <v>200</v>
      </c>
      <c r="BC17" s="184">
        <v>178001880</v>
      </c>
      <c r="BD17" s="177" t="s">
        <v>200</v>
      </c>
      <c r="BE17" s="177" t="s">
        <v>200</v>
      </c>
      <c r="BF17" s="177" t="s">
        <v>200</v>
      </c>
      <c r="BG17" s="177" t="s">
        <v>200</v>
      </c>
      <c r="BH17" s="177" t="s">
        <v>200</v>
      </c>
      <c r="BI17" s="177" t="s">
        <v>200</v>
      </c>
      <c r="BJ17" s="187" t="s">
        <v>200</v>
      </c>
    </row>
    <row r="18" spans="2:62" x14ac:dyDescent="0.2">
      <c r="B18" s="175">
        <v>46000</v>
      </c>
      <c r="C18" s="176">
        <v>46000.458569351853</v>
      </c>
      <c r="D18" s="177" t="s">
        <v>267</v>
      </c>
      <c r="E18" s="178" t="s">
        <v>268</v>
      </c>
      <c r="F18" s="179" t="s">
        <v>269</v>
      </c>
      <c r="G18" s="180">
        <v>82.22</v>
      </c>
      <c r="H18" s="181">
        <v>0.01</v>
      </c>
      <c r="I18" s="181">
        <v>150</v>
      </c>
      <c r="J18" s="181">
        <v>81.41</v>
      </c>
      <c r="K18" s="182">
        <v>82</v>
      </c>
      <c r="L18" s="183">
        <v>3268000</v>
      </c>
      <c r="M18" s="184">
        <v>5374500</v>
      </c>
      <c r="N18" s="184">
        <v>91</v>
      </c>
      <c r="O18" s="184">
        <v>21</v>
      </c>
      <c r="P18" s="181">
        <v>3.5</v>
      </c>
      <c r="Q18" s="184">
        <v>59060</v>
      </c>
      <c r="R18" s="184">
        <v>206712</v>
      </c>
      <c r="S18" s="184">
        <v>249747</v>
      </c>
      <c r="T18" s="184">
        <v>192235</v>
      </c>
      <c r="U18" s="184">
        <v>234054</v>
      </c>
      <c r="V18" s="182">
        <v>1.64</v>
      </c>
      <c r="W18" s="183">
        <v>26</v>
      </c>
      <c r="X18" s="185">
        <v>17</v>
      </c>
      <c r="Y18" s="183">
        <v>268694960</v>
      </c>
      <c r="Z18" s="179" t="s">
        <v>270</v>
      </c>
      <c r="AA18" s="183">
        <v>2384380</v>
      </c>
      <c r="AB18" s="184">
        <v>4152110</v>
      </c>
      <c r="AC18" s="184">
        <v>6742040</v>
      </c>
      <c r="AD18" s="184">
        <v>863310</v>
      </c>
      <c r="AE18" s="184">
        <v>4439880</v>
      </c>
      <c r="AF18" s="177" t="s">
        <v>200</v>
      </c>
      <c r="AG18" s="184">
        <v>2343270</v>
      </c>
      <c r="AH18" s="184">
        <v>2055500</v>
      </c>
      <c r="AI18" s="184">
        <v>9126420</v>
      </c>
      <c r="AJ18" s="184">
        <v>20801660</v>
      </c>
      <c r="AK18" s="184">
        <v>3288800</v>
      </c>
      <c r="AL18" s="184">
        <v>12333000</v>
      </c>
      <c r="AM18" s="184">
        <v>945530</v>
      </c>
      <c r="AN18" s="184">
        <v>3535460</v>
      </c>
      <c r="AO18" s="184">
        <v>986640</v>
      </c>
      <c r="AP18" s="184">
        <v>20513890</v>
      </c>
      <c r="AQ18" s="184">
        <v>41110</v>
      </c>
      <c r="AR18" s="184">
        <v>20719440</v>
      </c>
      <c r="AS18" s="184">
        <v>30092520</v>
      </c>
      <c r="AT18" s="184">
        <v>0</v>
      </c>
      <c r="AU18" s="184">
        <v>657760</v>
      </c>
      <c r="AV18" s="184">
        <v>0</v>
      </c>
      <c r="AW18" s="184">
        <v>534430</v>
      </c>
      <c r="AX18" s="184">
        <v>51140840</v>
      </c>
      <c r="AY18" s="184">
        <v>411100</v>
      </c>
      <c r="AZ18" s="184">
        <v>20061680</v>
      </c>
      <c r="BA18" s="184">
        <v>7358690</v>
      </c>
      <c r="BB18" s="184">
        <v>1603290</v>
      </c>
      <c r="BC18" s="177" t="s">
        <v>200</v>
      </c>
      <c r="BD18" s="184">
        <v>4357660</v>
      </c>
      <c r="BE18" s="184">
        <v>3617680</v>
      </c>
      <c r="BF18" s="184">
        <v>1438850</v>
      </c>
      <c r="BG18" s="184">
        <v>28941440</v>
      </c>
      <c r="BH18" s="184">
        <v>1068860</v>
      </c>
      <c r="BI18" s="184">
        <v>2137720</v>
      </c>
      <c r="BJ18" s="187" t="s">
        <v>200</v>
      </c>
    </row>
    <row r="19" spans="2:62" x14ac:dyDescent="0.2">
      <c r="B19" s="175">
        <v>45999</v>
      </c>
      <c r="C19" s="176">
        <v>45999.458609340276</v>
      </c>
      <c r="D19" s="177" t="s">
        <v>267</v>
      </c>
      <c r="E19" s="178" t="s">
        <v>268</v>
      </c>
      <c r="F19" s="179" t="s">
        <v>269</v>
      </c>
      <c r="G19" s="180">
        <v>82.17</v>
      </c>
      <c r="H19" s="181">
        <v>64</v>
      </c>
      <c r="I19" s="181">
        <v>150</v>
      </c>
      <c r="J19" s="181">
        <v>83.85</v>
      </c>
      <c r="K19" s="182">
        <v>81.84</v>
      </c>
      <c r="L19" s="183">
        <v>3268000</v>
      </c>
      <c r="M19" s="184">
        <v>5324000</v>
      </c>
      <c r="N19" s="184">
        <v>86</v>
      </c>
      <c r="O19" s="184">
        <v>17</v>
      </c>
      <c r="P19" s="181">
        <v>3.91</v>
      </c>
      <c r="Q19" s="184">
        <v>61907</v>
      </c>
      <c r="R19" s="184">
        <v>242000</v>
      </c>
      <c r="S19" s="184">
        <v>344482</v>
      </c>
      <c r="T19" s="184">
        <v>326800</v>
      </c>
      <c r="U19" s="184">
        <v>410689</v>
      </c>
      <c r="V19" s="182">
        <v>1.63</v>
      </c>
      <c r="W19" s="183">
        <v>22</v>
      </c>
      <c r="X19" s="185">
        <v>10</v>
      </c>
      <c r="Y19" s="183">
        <v>268531560</v>
      </c>
      <c r="Z19" s="179" t="s">
        <v>270</v>
      </c>
      <c r="AA19" s="183">
        <v>2382930</v>
      </c>
      <c r="AB19" s="184">
        <v>4149585</v>
      </c>
      <c r="AC19" s="184">
        <v>6737940</v>
      </c>
      <c r="AD19" s="184">
        <v>862785</v>
      </c>
      <c r="AE19" s="184">
        <v>4437180</v>
      </c>
      <c r="AF19" s="177" t="s">
        <v>200</v>
      </c>
      <c r="AG19" s="184">
        <v>2341845</v>
      </c>
      <c r="AH19" s="184">
        <v>2054250</v>
      </c>
      <c r="AI19" s="184">
        <v>9120870</v>
      </c>
      <c r="AJ19" s="184">
        <v>20789010</v>
      </c>
      <c r="AK19" s="184">
        <v>3286800</v>
      </c>
      <c r="AL19" s="184">
        <v>12325500</v>
      </c>
      <c r="AM19" s="184">
        <v>944955</v>
      </c>
      <c r="AN19" s="184">
        <v>3533310</v>
      </c>
      <c r="AO19" s="184">
        <v>986040</v>
      </c>
      <c r="AP19" s="184">
        <v>20501415</v>
      </c>
      <c r="AQ19" s="184">
        <v>41085</v>
      </c>
      <c r="AR19" s="184">
        <v>20706840</v>
      </c>
      <c r="AS19" s="184">
        <v>30074220</v>
      </c>
      <c r="AT19" s="184">
        <v>0</v>
      </c>
      <c r="AU19" s="184">
        <v>657360</v>
      </c>
      <c r="AV19" s="184">
        <v>0</v>
      </c>
      <c r="AW19" s="184">
        <v>534105</v>
      </c>
      <c r="AX19" s="184">
        <v>51109740</v>
      </c>
      <c r="AY19" s="184">
        <v>410850</v>
      </c>
      <c r="AZ19" s="184">
        <v>20049480</v>
      </c>
      <c r="BA19" s="184">
        <v>7354215</v>
      </c>
      <c r="BB19" s="184">
        <v>1602315</v>
      </c>
      <c r="BC19" s="177" t="s">
        <v>200</v>
      </c>
      <c r="BD19" s="184">
        <v>4355010</v>
      </c>
      <c r="BE19" s="184">
        <v>3615480</v>
      </c>
      <c r="BF19" s="184">
        <v>1437975</v>
      </c>
      <c r="BG19" s="184">
        <v>28923840</v>
      </c>
      <c r="BH19" s="184">
        <v>1068210</v>
      </c>
      <c r="BI19" s="184">
        <v>2136420</v>
      </c>
      <c r="BJ19" s="187" t="s">
        <v>200</v>
      </c>
    </row>
    <row r="20" spans="2:62" x14ac:dyDescent="0.2">
      <c r="B20" s="175">
        <v>45996</v>
      </c>
      <c r="C20" s="176">
        <v>45996.458697407405</v>
      </c>
      <c r="D20" s="177" t="s">
        <v>271</v>
      </c>
      <c r="E20" s="178" t="s">
        <v>268</v>
      </c>
      <c r="F20" s="179" t="s">
        <v>269</v>
      </c>
      <c r="G20" s="180">
        <v>82.25</v>
      </c>
      <c r="H20" s="181">
        <v>64</v>
      </c>
      <c r="I20" s="181">
        <v>85</v>
      </c>
      <c r="J20" s="181">
        <v>81.39</v>
      </c>
      <c r="K20" s="182">
        <v>81.87</v>
      </c>
      <c r="L20" s="183">
        <v>1691000</v>
      </c>
      <c r="M20" s="184">
        <v>3494500</v>
      </c>
      <c r="N20" s="184">
        <v>80</v>
      </c>
      <c r="O20" s="184">
        <v>11</v>
      </c>
      <c r="P20" s="181">
        <v>3.33</v>
      </c>
      <c r="Q20" s="184">
        <v>43681</v>
      </c>
      <c r="R20" s="184">
        <v>145604</v>
      </c>
      <c r="S20" s="184">
        <v>191690</v>
      </c>
      <c r="T20" s="184">
        <v>169100</v>
      </c>
      <c r="U20" s="184">
        <v>218515</v>
      </c>
      <c r="V20" s="182">
        <v>2.0699999999999998</v>
      </c>
      <c r="W20" s="183">
        <v>24</v>
      </c>
      <c r="X20" s="185">
        <v>10</v>
      </c>
      <c r="Y20" s="183">
        <v>139084750</v>
      </c>
      <c r="Z20" s="179" t="s">
        <v>272</v>
      </c>
      <c r="AA20" s="186" t="s">
        <v>200</v>
      </c>
      <c r="AB20" s="177" t="s">
        <v>200</v>
      </c>
      <c r="AC20" s="177" t="s">
        <v>200</v>
      </c>
      <c r="AD20" s="177" t="s">
        <v>200</v>
      </c>
      <c r="AE20" s="177" t="s">
        <v>200</v>
      </c>
      <c r="AF20" s="184">
        <v>139084750</v>
      </c>
      <c r="AG20" s="177" t="s">
        <v>200</v>
      </c>
      <c r="AH20" s="177" t="s">
        <v>200</v>
      </c>
      <c r="AI20" s="177" t="s">
        <v>200</v>
      </c>
      <c r="AJ20" s="177" t="s">
        <v>200</v>
      </c>
      <c r="AK20" s="177" t="s">
        <v>200</v>
      </c>
      <c r="AL20" s="177" t="s">
        <v>200</v>
      </c>
      <c r="AM20" s="177" t="s">
        <v>200</v>
      </c>
      <c r="AN20" s="177" t="s">
        <v>200</v>
      </c>
      <c r="AO20" s="177" t="s">
        <v>200</v>
      </c>
      <c r="AP20" s="177" t="s">
        <v>200</v>
      </c>
      <c r="AQ20" s="177" t="s">
        <v>200</v>
      </c>
      <c r="AR20" s="177" t="s">
        <v>200</v>
      </c>
      <c r="AS20" s="177" t="s">
        <v>200</v>
      </c>
      <c r="AT20" s="177" t="s">
        <v>200</v>
      </c>
      <c r="AU20" s="177" t="s">
        <v>200</v>
      </c>
      <c r="AV20" s="177" t="s">
        <v>200</v>
      </c>
      <c r="AW20" s="177" t="s">
        <v>200</v>
      </c>
      <c r="AX20" s="177" t="s">
        <v>200</v>
      </c>
      <c r="AY20" s="177" t="s">
        <v>200</v>
      </c>
      <c r="AZ20" s="177" t="s">
        <v>200</v>
      </c>
      <c r="BA20" s="177" t="s">
        <v>200</v>
      </c>
      <c r="BB20" s="177" t="s">
        <v>200</v>
      </c>
      <c r="BC20" s="177" t="s">
        <v>200</v>
      </c>
      <c r="BD20" s="177" t="s">
        <v>200</v>
      </c>
      <c r="BE20" s="177" t="s">
        <v>200</v>
      </c>
      <c r="BF20" s="177" t="s">
        <v>200</v>
      </c>
      <c r="BG20" s="177" t="s">
        <v>200</v>
      </c>
      <c r="BH20" s="177" t="s">
        <v>200</v>
      </c>
      <c r="BI20" s="177" t="s">
        <v>200</v>
      </c>
      <c r="BJ20" s="187" t="s">
        <v>200</v>
      </c>
    </row>
    <row r="21" spans="2:62" x14ac:dyDescent="0.2">
      <c r="B21" s="175">
        <v>45995</v>
      </c>
      <c r="C21" s="176">
        <v>45995.458924502316</v>
      </c>
      <c r="D21" s="177" t="s">
        <v>267</v>
      </c>
      <c r="E21" s="178" t="s">
        <v>268</v>
      </c>
      <c r="F21" s="179" t="s">
        <v>269</v>
      </c>
      <c r="G21" s="180">
        <v>81.39</v>
      </c>
      <c r="H21" s="181">
        <v>64</v>
      </c>
      <c r="I21" s="181">
        <v>120</v>
      </c>
      <c r="J21" s="181">
        <v>81.39</v>
      </c>
      <c r="K21" s="182">
        <v>81.2</v>
      </c>
      <c r="L21" s="183">
        <v>3268000</v>
      </c>
      <c r="M21" s="184">
        <v>5274500</v>
      </c>
      <c r="N21" s="184">
        <v>97</v>
      </c>
      <c r="O21" s="184">
        <v>27</v>
      </c>
      <c r="P21" s="181">
        <v>3.46</v>
      </c>
      <c r="Q21" s="184">
        <v>54376</v>
      </c>
      <c r="R21" s="184">
        <v>188375</v>
      </c>
      <c r="S21" s="184">
        <v>261535</v>
      </c>
      <c r="T21" s="184">
        <v>163400</v>
      </c>
      <c r="U21" s="184">
        <v>240275</v>
      </c>
      <c r="V21" s="182">
        <v>1.61</v>
      </c>
      <c r="W21" s="183">
        <v>28</v>
      </c>
      <c r="X21" s="185">
        <v>20</v>
      </c>
      <c r="Y21" s="183">
        <v>265982520</v>
      </c>
      <c r="Z21" s="179" t="s">
        <v>270</v>
      </c>
      <c r="AA21" s="183">
        <v>2360310</v>
      </c>
      <c r="AB21" s="184">
        <v>4110195</v>
      </c>
      <c r="AC21" s="184">
        <v>6673980</v>
      </c>
      <c r="AD21" s="184">
        <v>854595</v>
      </c>
      <c r="AE21" s="184">
        <v>4395060</v>
      </c>
      <c r="AF21" s="177" t="s">
        <v>200</v>
      </c>
      <c r="AG21" s="184">
        <v>2319615</v>
      </c>
      <c r="AH21" s="184">
        <v>2034750</v>
      </c>
      <c r="AI21" s="184">
        <v>9034290</v>
      </c>
      <c r="AJ21" s="184">
        <v>20591670</v>
      </c>
      <c r="AK21" s="184">
        <v>3255600</v>
      </c>
      <c r="AL21" s="184">
        <v>12208500</v>
      </c>
      <c r="AM21" s="184">
        <v>935985</v>
      </c>
      <c r="AN21" s="184">
        <v>3499770</v>
      </c>
      <c r="AO21" s="184">
        <v>976680</v>
      </c>
      <c r="AP21" s="184">
        <v>20306805</v>
      </c>
      <c r="AQ21" s="184">
        <v>40695</v>
      </c>
      <c r="AR21" s="184">
        <v>20510280</v>
      </c>
      <c r="AS21" s="184">
        <v>29788740</v>
      </c>
      <c r="AT21" s="184">
        <v>0</v>
      </c>
      <c r="AU21" s="184">
        <v>651120</v>
      </c>
      <c r="AV21" s="184">
        <v>0</v>
      </c>
      <c r="AW21" s="184">
        <v>529035</v>
      </c>
      <c r="AX21" s="184">
        <v>50624580</v>
      </c>
      <c r="AY21" s="184">
        <v>406950</v>
      </c>
      <c r="AZ21" s="184">
        <v>19859160</v>
      </c>
      <c r="BA21" s="184">
        <v>7284405</v>
      </c>
      <c r="BB21" s="184">
        <v>1587105</v>
      </c>
      <c r="BC21" s="177" t="s">
        <v>200</v>
      </c>
      <c r="BD21" s="184">
        <v>4313670</v>
      </c>
      <c r="BE21" s="184">
        <v>3581160</v>
      </c>
      <c r="BF21" s="184">
        <v>1424325</v>
      </c>
      <c r="BG21" s="184">
        <v>28649280</v>
      </c>
      <c r="BH21" s="184">
        <v>1058070</v>
      </c>
      <c r="BI21" s="184">
        <v>2116140</v>
      </c>
      <c r="BJ21" s="187" t="s">
        <v>200</v>
      </c>
    </row>
    <row r="22" spans="2:62" x14ac:dyDescent="0.2">
      <c r="B22" s="175">
        <v>45993</v>
      </c>
      <c r="C22" s="176">
        <v>45993.458747569442</v>
      </c>
      <c r="D22" s="177" t="s">
        <v>267</v>
      </c>
      <c r="E22" s="178" t="s">
        <v>268</v>
      </c>
      <c r="F22" s="179" t="s">
        <v>269</v>
      </c>
      <c r="G22" s="180">
        <v>82.19</v>
      </c>
      <c r="H22" s="181">
        <v>64</v>
      </c>
      <c r="I22" s="181">
        <v>150</v>
      </c>
      <c r="J22" s="181">
        <v>83.33</v>
      </c>
      <c r="K22" s="182">
        <v>82.04</v>
      </c>
      <c r="L22" s="183">
        <v>3268000</v>
      </c>
      <c r="M22" s="184">
        <v>4548000</v>
      </c>
      <c r="N22" s="184">
        <v>91</v>
      </c>
      <c r="O22" s="184">
        <v>32</v>
      </c>
      <c r="P22" s="181">
        <v>3.96</v>
      </c>
      <c r="Q22" s="184">
        <v>49978</v>
      </c>
      <c r="R22" s="184">
        <v>197739</v>
      </c>
      <c r="S22" s="184">
        <v>270181</v>
      </c>
      <c r="T22" s="184">
        <v>181556</v>
      </c>
      <c r="U22" s="184">
        <v>272442</v>
      </c>
      <c r="V22" s="182">
        <v>1.39</v>
      </c>
      <c r="W22" s="183">
        <v>23</v>
      </c>
      <c r="X22" s="185">
        <v>18</v>
      </c>
      <c r="Y22" s="183">
        <v>268596920</v>
      </c>
      <c r="Z22" s="179" t="s">
        <v>270</v>
      </c>
      <c r="AA22" s="183">
        <v>2383510</v>
      </c>
      <c r="AB22" s="184">
        <v>4150595</v>
      </c>
      <c r="AC22" s="184">
        <v>6739580</v>
      </c>
      <c r="AD22" s="184">
        <v>862995</v>
      </c>
      <c r="AE22" s="184">
        <v>4438260</v>
      </c>
      <c r="AF22" s="177" t="s">
        <v>200</v>
      </c>
      <c r="AG22" s="184">
        <v>2342415</v>
      </c>
      <c r="AH22" s="184">
        <v>2054750</v>
      </c>
      <c r="AI22" s="184">
        <v>9123090</v>
      </c>
      <c r="AJ22" s="184">
        <v>20794070</v>
      </c>
      <c r="AK22" s="184">
        <v>3287600</v>
      </c>
      <c r="AL22" s="184">
        <v>12328500</v>
      </c>
      <c r="AM22" s="184">
        <v>945185</v>
      </c>
      <c r="AN22" s="184">
        <v>3534170</v>
      </c>
      <c r="AO22" s="184">
        <v>986280</v>
      </c>
      <c r="AP22" s="184">
        <v>20506405</v>
      </c>
      <c r="AQ22" s="184">
        <v>41095</v>
      </c>
      <c r="AR22" s="184">
        <v>20711880</v>
      </c>
      <c r="AS22" s="184">
        <v>30081540</v>
      </c>
      <c r="AT22" s="184">
        <v>0</v>
      </c>
      <c r="AU22" s="184">
        <v>657520</v>
      </c>
      <c r="AV22" s="184">
        <v>0</v>
      </c>
      <c r="AW22" s="184">
        <v>534235</v>
      </c>
      <c r="AX22" s="184">
        <v>51122180</v>
      </c>
      <c r="AY22" s="184">
        <v>410950</v>
      </c>
      <c r="AZ22" s="184">
        <v>20054360</v>
      </c>
      <c r="BA22" s="184">
        <v>7356005</v>
      </c>
      <c r="BB22" s="184">
        <v>1602705</v>
      </c>
      <c r="BC22" s="177" t="s">
        <v>200</v>
      </c>
      <c r="BD22" s="184">
        <v>4356070</v>
      </c>
      <c r="BE22" s="184">
        <v>3616360</v>
      </c>
      <c r="BF22" s="184">
        <v>1438325</v>
      </c>
      <c r="BG22" s="184">
        <v>28930880</v>
      </c>
      <c r="BH22" s="184">
        <v>1068470</v>
      </c>
      <c r="BI22" s="184">
        <v>2136940</v>
      </c>
      <c r="BJ22" s="187" t="s">
        <v>200</v>
      </c>
    </row>
    <row r="23" spans="2:62" x14ac:dyDescent="0.2">
      <c r="B23" s="175">
        <v>45992</v>
      </c>
      <c r="C23" s="176">
        <v>45992.458767962962</v>
      </c>
      <c r="D23" s="177" t="s">
        <v>267</v>
      </c>
      <c r="E23" s="178" t="s">
        <v>268</v>
      </c>
      <c r="F23" s="179" t="s">
        <v>269</v>
      </c>
      <c r="G23" s="180">
        <v>83.01</v>
      </c>
      <c r="H23" s="181">
        <v>80</v>
      </c>
      <c r="I23" s="181">
        <v>150</v>
      </c>
      <c r="J23" s="181">
        <v>83.74</v>
      </c>
      <c r="K23" s="182">
        <v>82.97</v>
      </c>
      <c r="L23" s="183">
        <v>3268000</v>
      </c>
      <c r="M23" s="184">
        <v>4606000</v>
      </c>
      <c r="N23" s="184">
        <v>88</v>
      </c>
      <c r="O23" s="184">
        <v>37</v>
      </c>
      <c r="P23" s="181">
        <v>4</v>
      </c>
      <c r="Q23" s="184">
        <v>52341</v>
      </c>
      <c r="R23" s="184">
        <v>209364</v>
      </c>
      <c r="S23" s="184">
        <v>292814</v>
      </c>
      <c r="T23" s="184">
        <v>181556</v>
      </c>
      <c r="U23" s="184">
        <v>276565</v>
      </c>
      <c r="V23" s="182">
        <v>1.41</v>
      </c>
      <c r="W23" s="183">
        <v>22</v>
      </c>
      <c r="X23" s="185">
        <v>18</v>
      </c>
      <c r="Y23" s="183">
        <v>271276680</v>
      </c>
      <c r="Z23" s="179" t="s">
        <v>270</v>
      </c>
      <c r="AA23" s="183">
        <v>2407290</v>
      </c>
      <c r="AB23" s="184">
        <v>4192005</v>
      </c>
      <c r="AC23" s="184">
        <v>6806820</v>
      </c>
      <c r="AD23" s="184">
        <v>871605</v>
      </c>
      <c r="AE23" s="184">
        <v>4482540</v>
      </c>
      <c r="AF23" s="177" t="s">
        <v>200</v>
      </c>
      <c r="AG23" s="184">
        <v>2365785</v>
      </c>
      <c r="AH23" s="184">
        <v>2075250</v>
      </c>
      <c r="AI23" s="184">
        <v>9214110</v>
      </c>
      <c r="AJ23" s="184">
        <v>21001530</v>
      </c>
      <c r="AK23" s="184">
        <v>3320400</v>
      </c>
      <c r="AL23" s="184">
        <v>12451500</v>
      </c>
      <c r="AM23" s="184">
        <v>954615</v>
      </c>
      <c r="AN23" s="184">
        <v>3569430</v>
      </c>
      <c r="AO23" s="184">
        <v>996120</v>
      </c>
      <c r="AP23" s="184">
        <v>20710995</v>
      </c>
      <c r="AQ23" s="184">
        <v>41505</v>
      </c>
      <c r="AR23" s="184">
        <v>20918520</v>
      </c>
      <c r="AS23" s="184">
        <v>30381660</v>
      </c>
      <c r="AT23" s="184">
        <v>0</v>
      </c>
      <c r="AU23" s="184">
        <v>664080</v>
      </c>
      <c r="AV23" s="184">
        <v>0</v>
      </c>
      <c r="AW23" s="184">
        <v>539565</v>
      </c>
      <c r="AX23" s="184">
        <v>51632220</v>
      </c>
      <c r="AY23" s="184">
        <v>415050</v>
      </c>
      <c r="AZ23" s="184">
        <v>20254440</v>
      </c>
      <c r="BA23" s="184">
        <v>7429395</v>
      </c>
      <c r="BB23" s="184">
        <v>1618695</v>
      </c>
      <c r="BC23" s="177" t="s">
        <v>200</v>
      </c>
      <c r="BD23" s="184">
        <v>4399530</v>
      </c>
      <c r="BE23" s="184">
        <v>3652440</v>
      </c>
      <c r="BF23" s="184">
        <v>1452675</v>
      </c>
      <c r="BG23" s="184">
        <v>29219520</v>
      </c>
      <c r="BH23" s="184">
        <v>1079130</v>
      </c>
      <c r="BI23" s="184">
        <v>2158260</v>
      </c>
      <c r="BJ23" s="187" t="s">
        <v>200</v>
      </c>
    </row>
    <row r="24" spans="2:62" x14ac:dyDescent="0.2">
      <c r="B24" s="175">
        <v>45989</v>
      </c>
      <c r="C24" s="176">
        <v>45989.458545960646</v>
      </c>
      <c r="D24" s="177" t="s">
        <v>271</v>
      </c>
      <c r="E24" s="178" t="s">
        <v>268</v>
      </c>
      <c r="F24" s="179" t="s">
        <v>269</v>
      </c>
      <c r="G24" s="180">
        <v>82.6</v>
      </c>
      <c r="H24" s="181">
        <v>64</v>
      </c>
      <c r="I24" s="181">
        <v>85</v>
      </c>
      <c r="J24" s="181">
        <v>81.92</v>
      </c>
      <c r="K24" s="182">
        <v>82.32</v>
      </c>
      <c r="L24" s="183">
        <v>1691000</v>
      </c>
      <c r="M24" s="184">
        <v>3176500</v>
      </c>
      <c r="N24" s="184">
        <v>82</v>
      </c>
      <c r="O24" s="184">
        <v>18</v>
      </c>
      <c r="P24" s="181">
        <v>3.57</v>
      </c>
      <c r="Q24" s="184">
        <v>38738</v>
      </c>
      <c r="R24" s="184">
        <v>138109</v>
      </c>
      <c r="S24" s="184">
        <v>205238</v>
      </c>
      <c r="T24" s="184">
        <v>112733</v>
      </c>
      <c r="U24" s="184">
        <v>212229</v>
      </c>
      <c r="V24" s="182">
        <v>1.88</v>
      </c>
      <c r="W24" s="183">
        <v>23</v>
      </c>
      <c r="X24" s="185">
        <v>15</v>
      </c>
      <c r="Y24" s="183">
        <v>139676600</v>
      </c>
      <c r="Z24" s="179" t="s">
        <v>272</v>
      </c>
      <c r="AA24" s="186" t="s">
        <v>200</v>
      </c>
      <c r="AB24" s="177" t="s">
        <v>200</v>
      </c>
      <c r="AC24" s="177" t="s">
        <v>200</v>
      </c>
      <c r="AD24" s="177" t="s">
        <v>200</v>
      </c>
      <c r="AE24" s="177" t="s">
        <v>200</v>
      </c>
      <c r="AF24" s="184">
        <v>139676600</v>
      </c>
      <c r="AG24" s="177" t="s">
        <v>200</v>
      </c>
      <c r="AH24" s="177" t="s">
        <v>200</v>
      </c>
      <c r="AI24" s="177" t="s">
        <v>200</v>
      </c>
      <c r="AJ24" s="177" t="s">
        <v>200</v>
      </c>
      <c r="AK24" s="177" t="s">
        <v>200</v>
      </c>
      <c r="AL24" s="177" t="s">
        <v>200</v>
      </c>
      <c r="AM24" s="177" t="s">
        <v>200</v>
      </c>
      <c r="AN24" s="177" t="s">
        <v>200</v>
      </c>
      <c r="AO24" s="177" t="s">
        <v>200</v>
      </c>
      <c r="AP24" s="177" t="s">
        <v>200</v>
      </c>
      <c r="AQ24" s="177" t="s">
        <v>200</v>
      </c>
      <c r="AR24" s="177" t="s">
        <v>200</v>
      </c>
      <c r="AS24" s="177" t="s">
        <v>200</v>
      </c>
      <c r="AT24" s="177" t="s">
        <v>200</v>
      </c>
      <c r="AU24" s="177" t="s">
        <v>200</v>
      </c>
      <c r="AV24" s="177" t="s">
        <v>200</v>
      </c>
      <c r="AW24" s="177" t="s">
        <v>200</v>
      </c>
      <c r="AX24" s="177" t="s">
        <v>200</v>
      </c>
      <c r="AY24" s="177" t="s">
        <v>200</v>
      </c>
      <c r="AZ24" s="177" t="s">
        <v>200</v>
      </c>
      <c r="BA24" s="177" t="s">
        <v>200</v>
      </c>
      <c r="BB24" s="177" t="s">
        <v>200</v>
      </c>
      <c r="BC24" s="177" t="s">
        <v>200</v>
      </c>
      <c r="BD24" s="177" t="s">
        <v>200</v>
      </c>
      <c r="BE24" s="177" t="s">
        <v>200</v>
      </c>
      <c r="BF24" s="177" t="s">
        <v>200</v>
      </c>
      <c r="BG24" s="177" t="s">
        <v>200</v>
      </c>
      <c r="BH24" s="177" t="s">
        <v>200</v>
      </c>
      <c r="BI24" s="177" t="s">
        <v>200</v>
      </c>
      <c r="BJ24" s="187" t="s">
        <v>200</v>
      </c>
    </row>
    <row r="25" spans="2:62" x14ac:dyDescent="0.2">
      <c r="B25" s="175">
        <v>45988</v>
      </c>
      <c r="C25" s="176">
        <v>45988.45867965278</v>
      </c>
      <c r="D25" s="177" t="s">
        <v>267</v>
      </c>
      <c r="E25" s="178" t="s">
        <v>268</v>
      </c>
      <c r="F25" s="179" t="s">
        <v>269</v>
      </c>
      <c r="G25" s="180">
        <v>81.069999999999993</v>
      </c>
      <c r="H25" s="181">
        <v>64</v>
      </c>
      <c r="I25" s="181">
        <v>120</v>
      </c>
      <c r="J25" s="181">
        <v>81.62</v>
      </c>
      <c r="K25" s="182">
        <v>80.81</v>
      </c>
      <c r="L25" s="183">
        <v>3268000</v>
      </c>
      <c r="M25" s="184">
        <v>5308500</v>
      </c>
      <c r="N25" s="184">
        <v>105</v>
      </c>
      <c r="O25" s="184">
        <v>28</v>
      </c>
      <c r="P25" s="181">
        <v>4.2</v>
      </c>
      <c r="Q25" s="184">
        <v>50557</v>
      </c>
      <c r="R25" s="184">
        <v>212340</v>
      </c>
      <c r="S25" s="184">
        <v>247083</v>
      </c>
      <c r="T25" s="184">
        <v>192235</v>
      </c>
      <c r="U25" s="184">
        <v>224885</v>
      </c>
      <c r="V25" s="182">
        <v>1.62</v>
      </c>
      <c r="W25" s="183">
        <v>25</v>
      </c>
      <c r="X25" s="185">
        <v>17</v>
      </c>
      <c r="Y25" s="183">
        <v>264936760</v>
      </c>
      <c r="Z25" s="179" t="s">
        <v>270</v>
      </c>
      <c r="AA25" s="183">
        <v>2351030</v>
      </c>
      <c r="AB25" s="184">
        <v>4094035</v>
      </c>
      <c r="AC25" s="184">
        <v>6647740</v>
      </c>
      <c r="AD25" s="184">
        <v>851235</v>
      </c>
      <c r="AE25" s="184">
        <v>4377780</v>
      </c>
      <c r="AF25" s="177" t="s">
        <v>200</v>
      </c>
      <c r="AG25" s="184">
        <v>2310495</v>
      </c>
      <c r="AH25" s="184">
        <v>2026750</v>
      </c>
      <c r="AI25" s="184">
        <v>8998770</v>
      </c>
      <c r="AJ25" s="184">
        <v>20510710</v>
      </c>
      <c r="AK25" s="184">
        <v>3242800</v>
      </c>
      <c r="AL25" s="184">
        <v>12160500</v>
      </c>
      <c r="AM25" s="184">
        <v>932305</v>
      </c>
      <c r="AN25" s="184">
        <v>3486010</v>
      </c>
      <c r="AO25" s="184">
        <v>972840</v>
      </c>
      <c r="AP25" s="184">
        <v>20226965</v>
      </c>
      <c r="AQ25" s="184">
        <v>40535</v>
      </c>
      <c r="AR25" s="184">
        <v>20429640</v>
      </c>
      <c r="AS25" s="184">
        <v>29671620</v>
      </c>
      <c r="AT25" s="184">
        <v>0</v>
      </c>
      <c r="AU25" s="184">
        <v>648560</v>
      </c>
      <c r="AV25" s="184">
        <v>0</v>
      </c>
      <c r="AW25" s="184">
        <v>526955</v>
      </c>
      <c r="AX25" s="184">
        <v>50425540</v>
      </c>
      <c r="AY25" s="184">
        <v>405350</v>
      </c>
      <c r="AZ25" s="184">
        <v>19781080</v>
      </c>
      <c r="BA25" s="184">
        <v>7255765</v>
      </c>
      <c r="BB25" s="184">
        <v>1580865</v>
      </c>
      <c r="BC25" s="177" t="s">
        <v>200</v>
      </c>
      <c r="BD25" s="184">
        <v>4296710</v>
      </c>
      <c r="BE25" s="184">
        <v>3567080</v>
      </c>
      <c r="BF25" s="184">
        <v>1418725</v>
      </c>
      <c r="BG25" s="184">
        <v>28536640</v>
      </c>
      <c r="BH25" s="184">
        <v>1053910</v>
      </c>
      <c r="BI25" s="184">
        <v>2107820</v>
      </c>
      <c r="BJ25" s="187" t="s">
        <v>200</v>
      </c>
    </row>
    <row r="26" spans="2:62" x14ac:dyDescent="0.2">
      <c r="B26" s="175">
        <v>45987</v>
      </c>
      <c r="C26" s="176">
        <v>45987.458668877312</v>
      </c>
      <c r="D26" s="177" t="s">
        <v>273</v>
      </c>
      <c r="E26" s="178" t="s">
        <v>268</v>
      </c>
      <c r="F26" s="179" t="s">
        <v>269</v>
      </c>
      <c r="G26" s="180">
        <v>81.510000000000005</v>
      </c>
      <c r="H26" s="181">
        <v>64</v>
      </c>
      <c r="I26" s="181">
        <v>150</v>
      </c>
      <c r="J26" s="181">
        <v>83.3</v>
      </c>
      <c r="K26" s="182">
        <v>81.459999999999994</v>
      </c>
      <c r="L26" s="183">
        <v>2162500</v>
      </c>
      <c r="M26" s="184">
        <v>3608500</v>
      </c>
      <c r="N26" s="184">
        <v>97</v>
      </c>
      <c r="O26" s="184">
        <v>40</v>
      </c>
      <c r="P26" s="181">
        <v>3.73</v>
      </c>
      <c r="Q26" s="184">
        <v>37201</v>
      </c>
      <c r="R26" s="184">
        <v>138788</v>
      </c>
      <c r="S26" s="184">
        <v>184516</v>
      </c>
      <c r="T26" s="184">
        <v>94022</v>
      </c>
      <c r="U26" s="184">
        <v>166352</v>
      </c>
      <c r="V26" s="182">
        <v>1.67</v>
      </c>
      <c r="W26" s="183">
        <v>26</v>
      </c>
      <c r="X26" s="185">
        <v>23</v>
      </c>
      <c r="Y26" s="183">
        <v>176265375</v>
      </c>
      <c r="Z26" s="179" t="s">
        <v>274</v>
      </c>
      <c r="AA26" s="186" t="s">
        <v>200</v>
      </c>
      <c r="AB26" s="177" t="s">
        <v>200</v>
      </c>
      <c r="AC26" s="177" t="s">
        <v>200</v>
      </c>
      <c r="AD26" s="177" t="s">
        <v>200</v>
      </c>
      <c r="AE26" s="177" t="s">
        <v>200</v>
      </c>
      <c r="AF26" s="177" t="s">
        <v>200</v>
      </c>
      <c r="AG26" s="177" t="s">
        <v>200</v>
      </c>
      <c r="AH26" s="177" t="s">
        <v>200</v>
      </c>
      <c r="AI26" s="177" t="s">
        <v>200</v>
      </c>
      <c r="AJ26" s="177" t="s">
        <v>200</v>
      </c>
      <c r="AK26" s="177" t="s">
        <v>200</v>
      </c>
      <c r="AL26" s="177" t="s">
        <v>200</v>
      </c>
      <c r="AM26" s="177" t="s">
        <v>200</v>
      </c>
      <c r="AN26" s="177" t="s">
        <v>200</v>
      </c>
      <c r="AO26" s="177" t="s">
        <v>200</v>
      </c>
      <c r="AP26" s="177" t="s">
        <v>200</v>
      </c>
      <c r="AQ26" s="177" t="s">
        <v>200</v>
      </c>
      <c r="AR26" s="177" t="s">
        <v>200</v>
      </c>
      <c r="AS26" s="177" t="s">
        <v>200</v>
      </c>
      <c r="AT26" s="177" t="s">
        <v>200</v>
      </c>
      <c r="AU26" s="177" t="s">
        <v>200</v>
      </c>
      <c r="AV26" s="177" t="s">
        <v>200</v>
      </c>
      <c r="AW26" s="177" t="s">
        <v>200</v>
      </c>
      <c r="AX26" s="177" t="s">
        <v>200</v>
      </c>
      <c r="AY26" s="177" t="s">
        <v>200</v>
      </c>
      <c r="AZ26" s="177" t="s">
        <v>200</v>
      </c>
      <c r="BA26" s="177" t="s">
        <v>200</v>
      </c>
      <c r="BB26" s="177" t="s">
        <v>200</v>
      </c>
      <c r="BC26" s="184">
        <v>176265375</v>
      </c>
      <c r="BD26" s="177" t="s">
        <v>200</v>
      </c>
      <c r="BE26" s="177" t="s">
        <v>200</v>
      </c>
      <c r="BF26" s="177" t="s">
        <v>200</v>
      </c>
      <c r="BG26" s="177" t="s">
        <v>200</v>
      </c>
      <c r="BH26" s="177" t="s">
        <v>200</v>
      </c>
      <c r="BI26" s="177" t="s">
        <v>200</v>
      </c>
      <c r="BJ26" s="187" t="s">
        <v>200</v>
      </c>
    </row>
    <row r="27" spans="2:62" x14ac:dyDescent="0.2">
      <c r="B27" s="175">
        <v>45986</v>
      </c>
      <c r="C27" s="176">
        <v>45986.458619652774</v>
      </c>
      <c r="D27" s="177" t="s">
        <v>267</v>
      </c>
      <c r="E27" s="178" t="s">
        <v>268</v>
      </c>
      <c r="F27" s="179" t="s">
        <v>269</v>
      </c>
      <c r="G27" s="180">
        <v>81.19</v>
      </c>
      <c r="H27" s="181">
        <v>64</v>
      </c>
      <c r="I27" s="181">
        <v>150</v>
      </c>
      <c r="J27" s="181">
        <v>81.86</v>
      </c>
      <c r="K27" s="182">
        <v>80.989999999999995</v>
      </c>
      <c r="L27" s="183">
        <v>3268000</v>
      </c>
      <c r="M27" s="184">
        <v>4897000</v>
      </c>
      <c r="N27" s="184">
        <v>95</v>
      </c>
      <c r="O27" s="184">
        <v>29</v>
      </c>
      <c r="P27" s="181">
        <v>3.96</v>
      </c>
      <c r="Q27" s="184">
        <v>51547</v>
      </c>
      <c r="R27" s="184">
        <v>204042</v>
      </c>
      <c r="S27" s="184">
        <v>245490</v>
      </c>
      <c r="T27" s="184">
        <v>192235</v>
      </c>
      <c r="U27" s="184">
        <v>246799</v>
      </c>
      <c r="V27" s="182">
        <v>1.5</v>
      </c>
      <c r="W27" s="183">
        <v>24</v>
      </c>
      <c r="X27" s="185">
        <v>17</v>
      </c>
      <c r="Y27" s="183">
        <v>265328920</v>
      </c>
      <c r="Z27" s="179" t="s">
        <v>270</v>
      </c>
      <c r="AA27" s="183">
        <v>2354510</v>
      </c>
      <c r="AB27" s="184">
        <v>4100095</v>
      </c>
      <c r="AC27" s="184">
        <v>6657580</v>
      </c>
      <c r="AD27" s="184">
        <v>852495</v>
      </c>
      <c r="AE27" s="184">
        <v>4384260</v>
      </c>
      <c r="AF27" s="177" t="s">
        <v>200</v>
      </c>
      <c r="AG27" s="184">
        <v>2313915</v>
      </c>
      <c r="AH27" s="184">
        <v>2029750</v>
      </c>
      <c r="AI27" s="184">
        <v>9012090</v>
      </c>
      <c r="AJ27" s="184">
        <v>20541070</v>
      </c>
      <c r="AK27" s="184">
        <v>3247600</v>
      </c>
      <c r="AL27" s="184">
        <v>12178500</v>
      </c>
      <c r="AM27" s="184">
        <v>933685</v>
      </c>
      <c r="AN27" s="184">
        <v>3491170</v>
      </c>
      <c r="AO27" s="184">
        <v>974280</v>
      </c>
      <c r="AP27" s="184">
        <v>20256905</v>
      </c>
      <c r="AQ27" s="184">
        <v>40595</v>
      </c>
      <c r="AR27" s="184">
        <v>20459880</v>
      </c>
      <c r="AS27" s="184">
        <v>29715540</v>
      </c>
      <c r="AT27" s="184">
        <v>0</v>
      </c>
      <c r="AU27" s="184">
        <v>649520</v>
      </c>
      <c r="AV27" s="184">
        <v>0</v>
      </c>
      <c r="AW27" s="184">
        <v>527735</v>
      </c>
      <c r="AX27" s="184">
        <v>50500180</v>
      </c>
      <c r="AY27" s="184">
        <v>405950</v>
      </c>
      <c r="AZ27" s="184">
        <v>19810360</v>
      </c>
      <c r="BA27" s="184">
        <v>7266505</v>
      </c>
      <c r="BB27" s="184">
        <v>1583205</v>
      </c>
      <c r="BC27" s="177" t="s">
        <v>200</v>
      </c>
      <c r="BD27" s="184">
        <v>4303070</v>
      </c>
      <c r="BE27" s="184">
        <v>3572360</v>
      </c>
      <c r="BF27" s="184">
        <v>1420825</v>
      </c>
      <c r="BG27" s="184">
        <v>28578880</v>
      </c>
      <c r="BH27" s="184">
        <v>1055470</v>
      </c>
      <c r="BI27" s="184">
        <v>2110940</v>
      </c>
      <c r="BJ27" s="187" t="s">
        <v>200</v>
      </c>
    </row>
    <row r="28" spans="2:62" x14ac:dyDescent="0.2">
      <c r="B28" s="175">
        <v>45985</v>
      </c>
      <c r="C28" s="176">
        <v>45985.458587546294</v>
      </c>
      <c r="D28" s="177" t="s">
        <v>267</v>
      </c>
      <c r="E28" s="178" t="s">
        <v>268</v>
      </c>
      <c r="F28" s="179" t="s">
        <v>269</v>
      </c>
      <c r="G28" s="180">
        <v>80</v>
      </c>
      <c r="H28" s="181">
        <v>64</v>
      </c>
      <c r="I28" s="181">
        <v>150</v>
      </c>
      <c r="J28" s="181">
        <v>80.87</v>
      </c>
      <c r="K28" s="182">
        <v>79.72</v>
      </c>
      <c r="L28" s="183">
        <v>3268000</v>
      </c>
      <c r="M28" s="184">
        <v>4831000</v>
      </c>
      <c r="N28" s="184">
        <v>86</v>
      </c>
      <c r="O28" s="184">
        <v>21</v>
      </c>
      <c r="P28" s="181">
        <v>4.3</v>
      </c>
      <c r="Q28" s="184">
        <v>56174</v>
      </c>
      <c r="R28" s="184">
        <v>241550</v>
      </c>
      <c r="S28" s="184">
        <v>303027</v>
      </c>
      <c r="T28" s="184">
        <v>297091</v>
      </c>
      <c r="U28" s="184">
        <v>303202</v>
      </c>
      <c r="V28" s="182">
        <v>1.48</v>
      </c>
      <c r="W28" s="183">
        <v>20</v>
      </c>
      <c r="X28" s="185">
        <v>11</v>
      </c>
      <c r="Y28" s="183">
        <v>261440000</v>
      </c>
      <c r="Z28" s="179" t="s">
        <v>270</v>
      </c>
      <c r="AA28" s="183">
        <v>2320000</v>
      </c>
      <c r="AB28" s="184">
        <v>4040000</v>
      </c>
      <c r="AC28" s="184">
        <v>6560000</v>
      </c>
      <c r="AD28" s="184">
        <v>840000</v>
      </c>
      <c r="AE28" s="184">
        <v>4320000</v>
      </c>
      <c r="AF28" s="177" t="s">
        <v>200</v>
      </c>
      <c r="AG28" s="184">
        <v>2280000</v>
      </c>
      <c r="AH28" s="184">
        <v>2000000</v>
      </c>
      <c r="AI28" s="184">
        <v>8880000</v>
      </c>
      <c r="AJ28" s="184">
        <v>20240000</v>
      </c>
      <c r="AK28" s="184">
        <v>3200000</v>
      </c>
      <c r="AL28" s="184">
        <v>12000000</v>
      </c>
      <c r="AM28" s="184">
        <v>920000</v>
      </c>
      <c r="AN28" s="184">
        <v>3440000</v>
      </c>
      <c r="AO28" s="184">
        <v>960000</v>
      </c>
      <c r="AP28" s="184">
        <v>19960000</v>
      </c>
      <c r="AQ28" s="184">
        <v>40000</v>
      </c>
      <c r="AR28" s="184">
        <v>20160000</v>
      </c>
      <c r="AS28" s="184">
        <v>29280000</v>
      </c>
      <c r="AT28" s="184">
        <v>0</v>
      </c>
      <c r="AU28" s="184">
        <v>640000</v>
      </c>
      <c r="AV28" s="184">
        <v>0</v>
      </c>
      <c r="AW28" s="184">
        <v>520000</v>
      </c>
      <c r="AX28" s="184">
        <v>49760000</v>
      </c>
      <c r="AY28" s="184">
        <v>400000</v>
      </c>
      <c r="AZ28" s="184">
        <v>19520000</v>
      </c>
      <c r="BA28" s="184">
        <v>7160000</v>
      </c>
      <c r="BB28" s="184">
        <v>1560000</v>
      </c>
      <c r="BC28" s="177" t="s">
        <v>200</v>
      </c>
      <c r="BD28" s="184">
        <v>4240000</v>
      </c>
      <c r="BE28" s="184">
        <v>3520000</v>
      </c>
      <c r="BF28" s="184">
        <v>1400000</v>
      </c>
      <c r="BG28" s="184">
        <v>28160000</v>
      </c>
      <c r="BH28" s="184">
        <v>1040000</v>
      </c>
      <c r="BI28" s="184">
        <v>2080000</v>
      </c>
      <c r="BJ28" s="187" t="s">
        <v>200</v>
      </c>
    </row>
    <row r="29" spans="2:62" x14ac:dyDescent="0.2">
      <c r="B29" s="175">
        <v>45982</v>
      </c>
      <c r="C29" s="176">
        <v>45982.458782152775</v>
      </c>
      <c r="D29" s="177" t="s">
        <v>271</v>
      </c>
      <c r="E29" s="178" t="s">
        <v>268</v>
      </c>
      <c r="F29" s="179" t="s">
        <v>269</v>
      </c>
      <c r="G29" s="180">
        <v>80.47</v>
      </c>
      <c r="H29" s="181">
        <v>64</v>
      </c>
      <c r="I29" s="181">
        <v>85</v>
      </c>
      <c r="J29" s="181">
        <v>80.239999999999995</v>
      </c>
      <c r="K29" s="182">
        <v>80.260000000000005</v>
      </c>
      <c r="L29" s="183">
        <v>1691000</v>
      </c>
      <c r="M29" s="184">
        <v>3215500</v>
      </c>
      <c r="N29" s="184">
        <v>85</v>
      </c>
      <c r="O29" s="184">
        <v>23</v>
      </c>
      <c r="P29" s="181">
        <v>3.7</v>
      </c>
      <c r="Q29" s="184">
        <v>37829</v>
      </c>
      <c r="R29" s="184">
        <v>139804</v>
      </c>
      <c r="S29" s="184">
        <v>231743</v>
      </c>
      <c r="T29" s="184">
        <v>130077</v>
      </c>
      <c r="U29" s="184">
        <v>263141</v>
      </c>
      <c r="V29" s="182">
        <v>1.9</v>
      </c>
      <c r="W29" s="183">
        <v>23</v>
      </c>
      <c r="X29" s="185">
        <v>13</v>
      </c>
      <c r="Y29" s="183">
        <v>136074770</v>
      </c>
      <c r="Z29" s="179" t="s">
        <v>272</v>
      </c>
      <c r="AA29" s="186" t="s">
        <v>200</v>
      </c>
      <c r="AB29" s="177" t="s">
        <v>200</v>
      </c>
      <c r="AC29" s="177" t="s">
        <v>200</v>
      </c>
      <c r="AD29" s="177" t="s">
        <v>200</v>
      </c>
      <c r="AE29" s="177" t="s">
        <v>200</v>
      </c>
      <c r="AF29" s="184">
        <v>136074770</v>
      </c>
      <c r="AG29" s="177" t="s">
        <v>200</v>
      </c>
      <c r="AH29" s="177" t="s">
        <v>200</v>
      </c>
      <c r="AI29" s="177" t="s">
        <v>200</v>
      </c>
      <c r="AJ29" s="177" t="s">
        <v>200</v>
      </c>
      <c r="AK29" s="177" t="s">
        <v>200</v>
      </c>
      <c r="AL29" s="177" t="s">
        <v>200</v>
      </c>
      <c r="AM29" s="177" t="s">
        <v>200</v>
      </c>
      <c r="AN29" s="177" t="s">
        <v>200</v>
      </c>
      <c r="AO29" s="177" t="s">
        <v>200</v>
      </c>
      <c r="AP29" s="177" t="s">
        <v>200</v>
      </c>
      <c r="AQ29" s="177" t="s">
        <v>200</v>
      </c>
      <c r="AR29" s="177" t="s">
        <v>200</v>
      </c>
      <c r="AS29" s="177" t="s">
        <v>200</v>
      </c>
      <c r="AT29" s="177" t="s">
        <v>200</v>
      </c>
      <c r="AU29" s="177" t="s">
        <v>200</v>
      </c>
      <c r="AV29" s="177" t="s">
        <v>200</v>
      </c>
      <c r="AW29" s="177" t="s">
        <v>200</v>
      </c>
      <c r="AX29" s="177" t="s">
        <v>200</v>
      </c>
      <c r="AY29" s="177" t="s">
        <v>200</v>
      </c>
      <c r="AZ29" s="177" t="s">
        <v>200</v>
      </c>
      <c r="BA29" s="177" t="s">
        <v>200</v>
      </c>
      <c r="BB29" s="177" t="s">
        <v>200</v>
      </c>
      <c r="BC29" s="177" t="s">
        <v>200</v>
      </c>
      <c r="BD29" s="177" t="s">
        <v>200</v>
      </c>
      <c r="BE29" s="177" t="s">
        <v>200</v>
      </c>
      <c r="BF29" s="177" t="s">
        <v>200</v>
      </c>
      <c r="BG29" s="177" t="s">
        <v>200</v>
      </c>
      <c r="BH29" s="177" t="s">
        <v>200</v>
      </c>
      <c r="BI29" s="177" t="s">
        <v>200</v>
      </c>
      <c r="BJ29" s="187" t="s">
        <v>200</v>
      </c>
    </row>
    <row r="30" spans="2:62" x14ac:dyDescent="0.2">
      <c r="B30" s="175">
        <v>45981</v>
      </c>
      <c r="C30" s="176">
        <v>45981.458698807874</v>
      </c>
      <c r="D30" s="177" t="s">
        <v>267</v>
      </c>
      <c r="E30" s="178" t="s">
        <v>268</v>
      </c>
      <c r="F30" s="179" t="s">
        <v>269</v>
      </c>
      <c r="G30" s="180">
        <v>81.16</v>
      </c>
      <c r="H30" s="181">
        <v>64</v>
      </c>
      <c r="I30" s="181">
        <v>93</v>
      </c>
      <c r="J30" s="181">
        <v>80.78</v>
      </c>
      <c r="K30" s="182">
        <v>80.77</v>
      </c>
      <c r="L30" s="183">
        <v>3268000</v>
      </c>
      <c r="M30" s="184">
        <v>5488000</v>
      </c>
      <c r="N30" s="184">
        <v>114</v>
      </c>
      <c r="O30" s="184">
        <v>24</v>
      </c>
      <c r="P30" s="181">
        <v>4.22</v>
      </c>
      <c r="Q30" s="184">
        <v>48140</v>
      </c>
      <c r="R30" s="184">
        <v>203259</v>
      </c>
      <c r="S30" s="184">
        <v>279429</v>
      </c>
      <c r="T30" s="184">
        <v>192235</v>
      </c>
      <c r="U30" s="184">
        <v>249320</v>
      </c>
      <c r="V30" s="182">
        <v>1.68</v>
      </c>
      <c r="W30" s="183">
        <v>27</v>
      </c>
      <c r="X30" s="185">
        <v>17</v>
      </c>
      <c r="Y30" s="183">
        <v>265230880</v>
      </c>
      <c r="Z30" s="179" t="s">
        <v>270</v>
      </c>
      <c r="AA30" s="183">
        <v>2353640</v>
      </c>
      <c r="AB30" s="184">
        <v>4098580</v>
      </c>
      <c r="AC30" s="184">
        <v>6655120</v>
      </c>
      <c r="AD30" s="184">
        <v>852180</v>
      </c>
      <c r="AE30" s="184">
        <v>4382640</v>
      </c>
      <c r="AF30" s="177" t="s">
        <v>200</v>
      </c>
      <c r="AG30" s="184">
        <v>2313060</v>
      </c>
      <c r="AH30" s="184">
        <v>2029000</v>
      </c>
      <c r="AI30" s="184">
        <v>9008760</v>
      </c>
      <c r="AJ30" s="184">
        <v>20533480</v>
      </c>
      <c r="AK30" s="184">
        <v>3246400</v>
      </c>
      <c r="AL30" s="184">
        <v>12174000</v>
      </c>
      <c r="AM30" s="184">
        <v>933340</v>
      </c>
      <c r="AN30" s="184">
        <v>3489880</v>
      </c>
      <c r="AO30" s="184">
        <v>973920</v>
      </c>
      <c r="AP30" s="184">
        <v>20249420</v>
      </c>
      <c r="AQ30" s="184">
        <v>40580</v>
      </c>
      <c r="AR30" s="184">
        <v>20452320</v>
      </c>
      <c r="AS30" s="184">
        <v>29704560</v>
      </c>
      <c r="AT30" s="184">
        <v>0</v>
      </c>
      <c r="AU30" s="184">
        <v>649280</v>
      </c>
      <c r="AV30" s="184">
        <v>0</v>
      </c>
      <c r="AW30" s="184">
        <v>527540</v>
      </c>
      <c r="AX30" s="184">
        <v>50481520</v>
      </c>
      <c r="AY30" s="184">
        <v>405800</v>
      </c>
      <c r="AZ30" s="184">
        <v>19803040</v>
      </c>
      <c r="BA30" s="184">
        <v>7263820</v>
      </c>
      <c r="BB30" s="184">
        <v>1582620</v>
      </c>
      <c r="BC30" s="177" t="s">
        <v>200</v>
      </c>
      <c r="BD30" s="184">
        <v>4301480</v>
      </c>
      <c r="BE30" s="184">
        <v>3571040</v>
      </c>
      <c r="BF30" s="184">
        <v>1420300</v>
      </c>
      <c r="BG30" s="184">
        <v>28568320</v>
      </c>
      <c r="BH30" s="184">
        <v>1055080</v>
      </c>
      <c r="BI30" s="184">
        <v>2110160</v>
      </c>
      <c r="BJ30" s="187" t="s">
        <v>200</v>
      </c>
    </row>
    <row r="31" spans="2:62" x14ac:dyDescent="0.2">
      <c r="B31" s="175">
        <v>45979</v>
      </c>
      <c r="C31" s="176">
        <v>45979.458657997682</v>
      </c>
      <c r="D31" s="177" t="s">
        <v>267</v>
      </c>
      <c r="E31" s="178" t="s">
        <v>268</v>
      </c>
      <c r="F31" s="179" t="s">
        <v>269</v>
      </c>
      <c r="G31" s="180">
        <v>80.41</v>
      </c>
      <c r="H31" s="181">
        <v>64</v>
      </c>
      <c r="I31" s="181">
        <v>83</v>
      </c>
      <c r="J31" s="181">
        <v>80.03</v>
      </c>
      <c r="K31" s="182">
        <v>80.16</v>
      </c>
      <c r="L31" s="183">
        <v>3268000</v>
      </c>
      <c r="M31" s="184">
        <v>5781000</v>
      </c>
      <c r="N31" s="184">
        <v>114</v>
      </c>
      <c r="O31" s="184">
        <v>26</v>
      </c>
      <c r="P31" s="181">
        <v>4.07</v>
      </c>
      <c r="Q31" s="184">
        <v>50711</v>
      </c>
      <c r="R31" s="184">
        <v>206464</v>
      </c>
      <c r="S31" s="184">
        <v>307796</v>
      </c>
      <c r="T31" s="184">
        <v>192235</v>
      </c>
      <c r="U31" s="184">
        <v>326450</v>
      </c>
      <c r="V31" s="182">
        <v>1.77</v>
      </c>
      <c r="W31" s="183">
        <v>28</v>
      </c>
      <c r="X31" s="185">
        <v>17</v>
      </c>
      <c r="Y31" s="183">
        <v>262779880</v>
      </c>
      <c r="Z31" s="179" t="s">
        <v>270</v>
      </c>
      <c r="AA31" s="183">
        <v>2331890</v>
      </c>
      <c r="AB31" s="184">
        <v>4060705</v>
      </c>
      <c r="AC31" s="184">
        <v>6593620</v>
      </c>
      <c r="AD31" s="184">
        <v>844305</v>
      </c>
      <c r="AE31" s="184">
        <v>4342140</v>
      </c>
      <c r="AF31" s="177" t="s">
        <v>200</v>
      </c>
      <c r="AG31" s="184">
        <v>2291685</v>
      </c>
      <c r="AH31" s="184">
        <v>2010250</v>
      </c>
      <c r="AI31" s="184">
        <v>8925510</v>
      </c>
      <c r="AJ31" s="184">
        <v>20343730</v>
      </c>
      <c r="AK31" s="184">
        <v>3216400</v>
      </c>
      <c r="AL31" s="184">
        <v>12061500</v>
      </c>
      <c r="AM31" s="184">
        <v>924715</v>
      </c>
      <c r="AN31" s="184">
        <v>3457630</v>
      </c>
      <c r="AO31" s="184">
        <v>964920</v>
      </c>
      <c r="AP31" s="184">
        <v>20062295</v>
      </c>
      <c r="AQ31" s="184">
        <v>40205</v>
      </c>
      <c r="AR31" s="184">
        <v>20263320</v>
      </c>
      <c r="AS31" s="184">
        <v>29430060</v>
      </c>
      <c r="AT31" s="184">
        <v>0</v>
      </c>
      <c r="AU31" s="184">
        <v>643280</v>
      </c>
      <c r="AV31" s="184">
        <v>0</v>
      </c>
      <c r="AW31" s="184">
        <v>522665</v>
      </c>
      <c r="AX31" s="184">
        <v>50015020</v>
      </c>
      <c r="AY31" s="184">
        <v>402050</v>
      </c>
      <c r="AZ31" s="184">
        <v>19620040</v>
      </c>
      <c r="BA31" s="184">
        <v>7196695</v>
      </c>
      <c r="BB31" s="184">
        <v>1567995</v>
      </c>
      <c r="BC31" s="177" t="s">
        <v>200</v>
      </c>
      <c r="BD31" s="184">
        <v>4261730</v>
      </c>
      <c r="BE31" s="184">
        <v>3538040</v>
      </c>
      <c r="BF31" s="184">
        <v>1407175</v>
      </c>
      <c r="BG31" s="184">
        <v>28304320</v>
      </c>
      <c r="BH31" s="184">
        <v>1045330</v>
      </c>
      <c r="BI31" s="184">
        <v>2090660</v>
      </c>
      <c r="BJ31" s="187" t="s">
        <v>200</v>
      </c>
    </row>
    <row r="32" spans="2:62" x14ac:dyDescent="0.2">
      <c r="B32" s="175">
        <v>45978</v>
      </c>
      <c r="C32" s="176">
        <v>45978.458706597223</v>
      </c>
      <c r="D32" s="177" t="s">
        <v>267</v>
      </c>
      <c r="E32" s="178" t="s">
        <v>268</v>
      </c>
      <c r="F32" s="179" t="s">
        <v>269</v>
      </c>
      <c r="G32" s="180">
        <v>80.25</v>
      </c>
      <c r="H32" s="181">
        <v>64</v>
      </c>
      <c r="I32" s="181">
        <v>85</v>
      </c>
      <c r="J32" s="181">
        <v>79.8</v>
      </c>
      <c r="K32" s="182">
        <v>80.03</v>
      </c>
      <c r="L32" s="183">
        <v>3268000</v>
      </c>
      <c r="M32" s="184">
        <v>5601000</v>
      </c>
      <c r="N32" s="184">
        <v>104</v>
      </c>
      <c r="O32" s="184">
        <v>23</v>
      </c>
      <c r="P32" s="181">
        <v>4.5199999999999996</v>
      </c>
      <c r="Q32" s="184">
        <v>53856</v>
      </c>
      <c r="R32" s="184">
        <v>243522</v>
      </c>
      <c r="S32" s="184">
        <v>292389</v>
      </c>
      <c r="T32" s="184">
        <v>192235</v>
      </c>
      <c r="U32" s="184">
        <v>236355</v>
      </c>
      <c r="V32" s="182">
        <v>1.71</v>
      </c>
      <c r="W32" s="183">
        <v>23</v>
      </c>
      <c r="X32" s="185">
        <v>17</v>
      </c>
      <c r="Y32" s="183">
        <v>262257000</v>
      </c>
      <c r="Z32" s="179" t="s">
        <v>270</v>
      </c>
      <c r="AA32" s="183">
        <v>2327250</v>
      </c>
      <c r="AB32" s="184">
        <v>4052625</v>
      </c>
      <c r="AC32" s="184">
        <v>6580500</v>
      </c>
      <c r="AD32" s="184">
        <v>842625</v>
      </c>
      <c r="AE32" s="184">
        <v>4333500</v>
      </c>
      <c r="AF32" s="177" t="s">
        <v>200</v>
      </c>
      <c r="AG32" s="184">
        <v>2287125</v>
      </c>
      <c r="AH32" s="184">
        <v>2006250</v>
      </c>
      <c r="AI32" s="184">
        <v>8907750</v>
      </c>
      <c r="AJ32" s="184">
        <v>20303250</v>
      </c>
      <c r="AK32" s="184">
        <v>3210000</v>
      </c>
      <c r="AL32" s="184">
        <v>12037500</v>
      </c>
      <c r="AM32" s="184">
        <v>922875</v>
      </c>
      <c r="AN32" s="184">
        <v>3450750</v>
      </c>
      <c r="AO32" s="184">
        <v>963000</v>
      </c>
      <c r="AP32" s="184">
        <v>20022375</v>
      </c>
      <c r="AQ32" s="184">
        <v>40125</v>
      </c>
      <c r="AR32" s="184">
        <v>20223000</v>
      </c>
      <c r="AS32" s="184">
        <v>29371500</v>
      </c>
      <c r="AT32" s="184">
        <v>0</v>
      </c>
      <c r="AU32" s="184">
        <v>642000</v>
      </c>
      <c r="AV32" s="184">
        <v>0</v>
      </c>
      <c r="AW32" s="184">
        <v>521625</v>
      </c>
      <c r="AX32" s="184">
        <v>49915500</v>
      </c>
      <c r="AY32" s="184">
        <v>401250</v>
      </c>
      <c r="AZ32" s="184">
        <v>19581000</v>
      </c>
      <c r="BA32" s="184">
        <v>7182375</v>
      </c>
      <c r="BB32" s="184">
        <v>1564875</v>
      </c>
      <c r="BC32" s="177" t="s">
        <v>200</v>
      </c>
      <c r="BD32" s="184">
        <v>4253250</v>
      </c>
      <c r="BE32" s="184">
        <v>3531000</v>
      </c>
      <c r="BF32" s="184">
        <v>1404375</v>
      </c>
      <c r="BG32" s="184">
        <v>28248000</v>
      </c>
      <c r="BH32" s="184">
        <v>1043250</v>
      </c>
      <c r="BI32" s="184">
        <v>2086500</v>
      </c>
      <c r="BJ32" s="187" t="s">
        <v>200</v>
      </c>
    </row>
    <row r="33" spans="2:62" x14ac:dyDescent="0.2">
      <c r="B33" s="175">
        <v>45975</v>
      </c>
      <c r="C33" s="176">
        <v>45975.4586187963</v>
      </c>
      <c r="D33" s="177" t="s">
        <v>271</v>
      </c>
      <c r="E33" s="178" t="s">
        <v>268</v>
      </c>
      <c r="F33" s="179" t="s">
        <v>269</v>
      </c>
      <c r="G33" s="180">
        <v>80.849999999999994</v>
      </c>
      <c r="H33" s="181">
        <v>64</v>
      </c>
      <c r="I33" s="181">
        <v>82.33</v>
      </c>
      <c r="J33" s="181">
        <v>80.3</v>
      </c>
      <c r="K33" s="182">
        <v>80.67</v>
      </c>
      <c r="L33" s="183">
        <v>1691000</v>
      </c>
      <c r="M33" s="184">
        <v>3672000</v>
      </c>
      <c r="N33" s="184">
        <v>101</v>
      </c>
      <c r="O33" s="184">
        <v>31</v>
      </c>
      <c r="P33" s="181">
        <v>4.8099999999999996</v>
      </c>
      <c r="Q33" s="184">
        <v>36356</v>
      </c>
      <c r="R33" s="184">
        <v>174857</v>
      </c>
      <c r="S33" s="184">
        <v>220569</v>
      </c>
      <c r="T33" s="184">
        <v>112733</v>
      </c>
      <c r="U33" s="184">
        <v>228377</v>
      </c>
      <c r="V33" s="182">
        <v>2.17</v>
      </c>
      <c r="W33" s="183">
        <v>21</v>
      </c>
      <c r="X33" s="185">
        <v>15</v>
      </c>
      <c r="Y33" s="183">
        <v>136717350</v>
      </c>
      <c r="Z33" s="179" t="s">
        <v>272</v>
      </c>
      <c r="AA33" s="186" t="s">
        <v>200</v>
      </c>
      <c r="AB33" s="177" t="s">
        <v>200</v>
      </c>
      <c r="AC33" s="177" t="s">
        <v>200</v>
      </c>
      <c r="AD33" s="177" t="s">
        <v>200</v>
      </c>
      <c r="AE33" s="177" t="s">
        <v>200</v>
      </c>
      <c r="AF33" s="184">
        <v>136717350</v>
      </c>
      <c r="AG33" s="177" t="s">
        <v>200</v>
      </c>
      <c r="AH33" s="177" t="s">
        <v>200</v>
      </c>
      <c r="AI33" s="177" t="s">
        <v>200</v>
      </c>
      <c r="AJ33" s="177" t="s">
        <v>200</v>
      </c>
      <c r="AK33" s="177" t="s">
        <v>200</v>
      </c>
      <c r="AL33" s="177" t="s">
        <v>200</v>
      </c>
      <c r="AM33" s="177" t="s">
        <v>200</v>
      </c>
      <c r="AN33" s="177" t="s">
        <v>200</v>
      </c>
      <c r="AO33" s="177" t="s">
        <v>200</v>
      </c>
      <c r="AP33" s="177" t="s">
        <v>200</v>
      </c>
      <c r="AQ33" s="177" t="s">
        <v>200</v>
      </c>
      <c r="AR33" s="177" t="s">
        <v>200</v>
      </c>
      <c r="AS33" s="177" t="s">
        <v>200</v>
      </c>
      <c r="AT33" s="177" t="s">
        <v>200</v>
      </c>
      <c r="AU33" s="177" t="s">
        <v>200</v>
      </c>
      <c r="AV33" s="177" t="s">
        <v>200</v>
      </c>
      <c r="AW33" s="177" t="s">
        <v>200</v>
      </c>
      <c r="AX33" s="177" t="s">
        <v>200</v>
      </c>
      <c r="AY33" s="177" t="s">
        <v>200</v>
      </c>
      <c r="AZ33" s="177" t="s">
        <v>200</v>
      </c>
      <c r="BA33" s="177" t="s">
        <v>200</v>
      </c>
      <c r="BB33" s="177" t="s">
        <v>200</v>
      </c>
      <c r="BC33" s="177" t="s">
        <v>200</v>
      </c>
      <c r="BD33" s="177" t="s">
        <v>200</v>
      </c>
      <c r="BE33" s="177" t="s">
        <v>200</v>
      </c>
      <c r="BF33" s="177" t="s">
        <v>200</v>
      </c>
      <c r="BG33" s="177" t="s">
        <v>200</v>
      </c>
      <c r="BH33" s="177" t="s">
        <v>200</v>
      </c>
      <c r="BI33" s="177" t="s">
        <v>200</v>
      </c>
      <c r="BJ33" s="187" t="s">
        <v>200</v>
      </c>
    </row>
    <row r="34" spans="2:62" x14ac:dyDescent="0.2">
      <c r="B34" s="175">
        <v>45974</v>
      </c>
      <c r="C34" s="176">
        <v>45974.458701238429</v>
      </c>
      <c r="D34" s="177" t="s">
        <v>267</v>
      </c>
      <c r="E34" s="178" t="s">
        <v>268</v>
      </c>
      <c r="F34" s="179" t="s">
        <v>269</v>
      </c>
      <c r="G34" s="180">
        <v>81.31</v>
      </c>
      <c r="H34" s="181">
        <v>64</v>
      </c>
      <c r="I34" s="181">
        <v>150</v>
      </c>
      <c r="J34" s="181">
        <v>82.83</v>
      </c>
      <c r="K34" s="182">
        <v>81.28</v>
      </c>
      <c r="L34" s="183">
        <v>3268000</v>
      </c>
      <c r="M34" s="184">
        <v>4987500</v>
      </c>
      <c r="N34" s="184">
        <v>106</v>
      </c>
      <c r="O34" s="184">
        <v>50</v>
      </c>
      <c r="P34" s="181">
        <v>4.08</v>
      </c>
      <c r="Q34" s="184">
        <v>47052</v>
      </c>
      <c r="R34" s="184">
        <v>191827</v>
      </c>
      <c r="S34" s="184">
        <v>244887</v>
      </c>
      <c r="T34" s="184">
        <v>142087</v>
      </c>
      <c r="U34" s="184">
        <v>226024</v>
      </c>
      <c r="V34" s="182">
        <v>1.53</v>
      </c>
      <c r="W34" s="183">
        <v>26</v>
      </c>
      <c r="X34" s="185">
        <v>23</v>
      </c>
      <c r="Y34" s="183">
        <v>265721080</v>
      </c>
      <c r="Z34" s="179" t="s">
        <v>270</v>
      </c>
      <c r="AA34" s="183">
        <v>2357990</v>
      </c>
      <c r="AB34" s="184">
        <v>4106155</v>
      </c>
      <c r="AC34" s="184">
        <v>6667420</v>
      </c>
      <c r="AD34" s="184">
        <v>853755</v>
      </c>
      <c r="AE34" s="184">
        <v>4390740</v>
      </c>
      <c r="AF34" s="177" t="s">
        <v>200</v>
      </c>
      <c r="AG34" s="184">
        <v>2317335</v>
      </c>
      <c r="AH34" s="184">
        <v>2032750</v>
      </c>
      <c r="AI34" s="184">
        <v>9025410</v>
      </c>
      <c r="AJ34" s="184">
        <v>20571430</v>
      </c>
      <c r="AK34" s="184">
        <v>3252400</v>
      </c>
      <c r="AL34" s="184">
        <v>12196500</v>
      </c>
      <c r="AM34" s="184">
        <v>935065</v>
      </c>
      <c r="AN34" s="184">
        <v>3496330</v>
      </c>
      <c r="AO34" s="184">
        <v>975720</v>
      </c>
      <c r="AP34" s="184">
        <v>20286845</v>
      </c>
      <c r="AQ34" s="184">
        <v>40655</v>
      </c>
      <c r="AR34" s="184">
        <v>20490120</v>
      </c>
      <c r="AS34" s="184">
        <v>29759460</v>
      </c>
      <c r="AT34" s="184">
        <v>0</v>
      </c>
      <c r="AU34" s="184">
        <v>650480</v>
      </c>
      <c r="AV34" s="184">
        <v>0</v>
      </c>
      <c r="AW34" s="184">
        <v>528515</v>
      </c>
      <c r="AX34" s="184">
        <v>50574820</v>
      </c>
      <c r="AY34" s="184">
        <v>406550</v>
      </c>
      <c r="AZ34" s="184">
        <v>19839640</v>
      </c>
      <c r="BA34" s="184">
        <v>7277245</v>
      </c>
      <c r="BB34" s="184">
        <v>1585545</v>
      </c>
      <c r="BC34" s="177" t="s">
        <v>200</v>
      </c>
      <c r="BD34" s="184">
        <v>4309430</v>
      </c>
      <c r="BE34" s="184">
        <v>3577640</v>
      </c>
      <c r="BF34" s="184">
        <v>1422925</v>
      </c>
      <c r="BG34" s="184">
        <v>28621120</v>
      </c>
      <c r="BH34" s="184">
        <v>1057030</v>
      </c>
      <c r="BI34" s="184">
        <v>2114060</v>
      </c>
      <c r="BJ34" s="187" t="s">
        <v>200</v>
      </c>
    </row>
    <row r="35" spans="2:62" x14ac:dyDescent="0.2">
      <c r="B35" s="175">
        <v>45973</v>
      </c>
      <c r="C35" s="176">
        <v>45973.458780023146</v>
      </c>
      <c r="D35" s="177" t="s">
        <v>273</v>
      </c>
      <c r="E35" s="178" t="s">
        <v>268</v>
      </c>
      <c r="F35" s="179" t="s">
        <v>269</v>
      </c>
      <c r="G35" s="180">
        <v>81.510000000000005</v>
      </c>
      <c r="H35" s="181">
        <v>64</v>
      </c>
      <c r="I35" s="181">
        <v>150</v>
      </c>
      <c r="J35" s="181">
        <v>82.46</v>
      </c>
      <c r="K35" s="182">
        <v>81.430000000000007</v>
      </c>
      <c r="L35" s="183">
        <v>2162500</v>
      </c>
      <c r="M35" s="184">
        <v>3680000</v>
      </c>
      <c r="N35" s="184">
        <v>101</v>
      </c>
      <c r="O35" s="184">
        <v>39</v>
      </c>
      <c r="P35" s="181">
        <v>4.3899999999999997</v>
      </c>
      <c r="Q35" s="184">
        <v>36436</v>
      </c>
      <c r="R35" s="184">
        <v>160000</v>
      </c>
      <c r="S35" s="184">
        <v>226599</v>
      </c>
      <c r="T35" s="184">
        <v>120139</v>
      </c>
      <c r="U35" s="184">
        <v>233479</v>
      </c>
      <c r="V35" s="182">
        <v>1.7</v>
      </c>
      <c r="W35" s="183">
        <v>23</v>
      </c>
      <c r="X35" s="185">
        <v>18</v>
      </c>
      <c r="Y35" s="183">
        <v>176265375</v>
      </c>
      <c r="Z35" s="179" t="s">
        <v>274</v>
      </c>
      <c r="AA35" s="186" t="s">
        <v>200</v>
      </c>
      <c r="AB35" s="177" t="s">
        <v>200</v>
      </c>
      <c r="AC35" s="177" t="s">
        <v>200</v>
      </c>
      <c r="AD35" s="177" t="s">
        <v>200</v>
      </c>
      <c r="AE35" s="177" t="s">
        <v>200</v>
      </c>
      <c r="AF35" s="177" t="s">
        <v>200</v>
      </c>
      <c r="AG35" s="177" t="s">
        <v>200</v>
      </c>
      <c r="AH35" s="177" t="s">
        <v>200</v>
      </c>
      <c r="AI35" s="177" t="s">
        <v>200</v>
      </c>
      <c r="AJ35" s="177" t="s">
        <v>200</v>
      </c>
      <c r="AK35" s="177" t="s">
        <v>200</v>
      </c>
      <c r="AL35" s="177" t="s">
        <v>200</v>
      </c>
      <c r="AM35" s="177" t="s">
        <v>200</v>
      </c>
      <c r="AN35" s="177" t="s">
        <v>200</v>
      </c>
      <c r="AO35" s="177" t="s">
        <v>200</v>
      </c>
      <c r="AP35" s="177" t="s">
        <v>200</v>
      </c>
      <c r="AQ35" s="177" t="s">
        <v>200</v>
      </c>
      <c r="AR35" s="177" t="s">
        <v>200</v>
      </c>
      <c r="AS35" s="177" t="s">
        <v>200</v>
      </c>
      <c r="AT35" s="177" t="s">
        <v>200</v>
      </c>
      <c r="AU35" s="177" t="s">
        <v>200</v>
      </c>
      <c r="AV35" s="177" t="s">
        <v>200</v>
      </c>
      <c r="AW35" s="177" t="s">
        <v>200</v>
      </c>
      <c r="AX35" s="177" t="s">
        <v>200</v>
      </c>
      <c r="AY35" s="177" t="s">
        <v>200</v>
      </c>
      <c r="AZ35" s="177" t="s">
        <v>200</v>
      </c>
      <c r="BA35" s="177" t="s">
        <v>200</v>
      </c>
      <c r="BB35" s="177" t="s">
        <v>200</v>
      </c>
      <c r="BC35" s="184">
        <v>176265375</v>
      </c>
      <c r="BD35" s="177" t="s">
        <v>200</v>
      </c>
      <c r="BE35" s="177" t="s">
        <v>200</v>
      </c>
      <c r="BF35" s="177" t="s">
        <v>200</v>
      </c>
      <c r="BG35" s="177" t="s">
        <v>200</v>
      </c>
      <c r="BH35" s="177" t="s">
        <v>200</v>
      </c>
      <c r="BI35" s="177" t="s">
        <v>200</v>
      </c>
      <c r="BJ35" s="187" t="s">
        <v>200</v>
      </c>
    </row>
    <row r="36" spans="2:62" x14ac:dyDescent="0.2">
      <c r="B36" s="175">
        <v>45972</v>
      </c>
      <c r="C36" s="176">
        <v>45972.458719201386</v>
      </c>
      <c r="D36" s="177" t="s">
        <v>267</v>
      </c>
      <c r="E36" s="178" t="s">
        <v>268</v>
      </c>
      <c r="F36" s="179" t="s">
        <v>269</v>
      </c>
      <c r="G36" s="180">
        <v>79.91</v>
      </c>
      <c r="H36" s="181">
        <v>64</v>
      </c>
      <c r="I36" s="181">
        <v>150</v>
      </c>
      <c r="J36" s="181">
        <v>80.2</v>
      </c>
      <c r="K36" s="182">
        <v>79.75</v>
      </c>
      <c r="L36" s="183">
        <v>3268000</v>
      </c>
      <c r="M36" s="184">
        <v>5425500</v>
      </c>
      <c r="N36" s="184">
        <v>112</v>
      </c>
      <c r="O36" s="184">
        <v>32</v>
      </c>
      <c r="P36" s="181">
        <v>4.1500000000000004</v>
      </c>
      <c r="Q36" s="184">
        <v>48442</v>
      </c>
      <c r="R36" s="184">
        <v>200944</v>
      </c>
      <c r="S36" s="184">
        <v>267977</v>
      </c>
      <c r="T36" s="184">
        <v>148545</v>
      </c>
      <c r="U36" s="184">
        <v>265836</v>
      </c>
      <c r="V36" s="182">
        <v>1.66</v>
      </c>
      <c r="W36" s="183">
        <v>27</v>
      </c>
      <c r="X36" s="185">
        <v>22</v>
      </c>
      <c r="Y36" s="183">
        <v>261145880</v>
      </c>
      <c r="Z36" s="179" t="s">
        <v>270</v>
      </c>
      <c r="AA36" s="183">
        <v>2317390</v>
      </c>
      <c r="AB36" s="184">
        <v>4035455</v>
      </c>
      <c r="AC36" s="184">
        <v>6552620</v>
      </c>
      <c r="AD36" s="184">
        <v>839055</v>
      </c>
      <c r="AE36" s="184">
        <v>4315140</v>
      </c>
      <c r="AF36" s="177" t="s">
        <v>200</v>
      </c>
      <c r="AG36" s="184">
        <v>2277435</v>
      </c>
      <c r="AH36" s="184">
        <v>1997750</v>
      </c>
      <c r="AI36" s="184">
        <v>8870010</v>
      </c>
      <c r="AJ36" s="184">
        <v>20217230</v>
      </c>
      <c r="AK36" s="184">
        <v>3196400</v>
      </c>
      <c r="AL36" s="184">
        <v>11986500</v>
      </c>
      <c r="AM36" s="184">
        <v>918965</v>
      </c>
      <c r="AN36" s="184">
        <v>3436130</v>
      </c>
      <c r="AO36" s="184">
        <v>958920</v>
      </c>
      <c r="AP36" s="184">
        <v>19937545</v>
      </c>
      <c r="AQ36" s="184">
        <v>39955</v>
      </c>
      <c r="AR36" s="184">
        <v>20137320</v>
      </c>
      <c r="AS36" s="184">
        <v>29247060</v>
      </c>
      <c r="AT36" s="184">
        <v>0</v>
      </c>
      <c r="AU36" s="184">
        <v>639280</v>
      </c>
      <c r="AV36" s="184">
        <v>0</v>
      </c>
      <c r="AW36" s="184">
        <v>519415</v>
      </c>
      <c r="AX36" s="184">
        <v>49704020</v>
      </c>
      <c r="AY36" s="184">
        <v>399550</v>
      </c>
      <c r="AZ36" s="184">
        <v>19498040</v>
      </c>
      <c r="BA36" s="184">
        <v>7151945</v>
      </c>
      <c r="BB36" s="184">
        <v>1558245</v>
      </c>
      <c r="BC36" s="177" t="s">
        <v>200</v>
      </c>
      <c r="BD36" s="184">
        <v>4235230</v>
      </c>
      <c r="BE36" s="184">
        <v>3516040</v>
      </c>
      <c r="BF36" s="184">
        <v>1398425</v>
      </c>
      <c r="BG36" s="184">
        <v>28128320</v>
      </c>
      <c r="BH36" s="184">
        <v>1038830</v>
      </c>
      <c r="BI36" s="184">
        <v>2077660</v>
      </c>
      <c r="BJ36" s="187" t="s">
        <v>200</v>
      </c>
    </row>
    <row r="37" spans="2:62" x14ac:dyDescent="0.2">
      <c r="B37" s="175">
        <v>45971</v>
      </c>
      <c r="C37" s="176">
        <v>45971.458620682868</v>
      </c>
      <c r="D37" s="177" t="s">
        <v>267</v>
      </c>
      <c r="E37" s="178" t="s">
        <v>268</v>
      </c>
      <c r="F37" s="179" t="s">
        <v>269</v>
      </c>
      <c r="G37" s="180">
        <v>79.97</v>
      </c>
      <c r="H37" s="181">
        <v>64</v>
      </c>
      <c r="I37" s="181">
        <v>91.74</v>
      </c>
      <c r="J37" s="181">
        <v>79.760000000000005</v>
      </c>
      <c r="K37" s="182">
        <v>79.650000000000006</v>
      </c>
      <c r="L37" s="183">
        <v>3268000</v>
      </c>
      <c r="M37" s="184">
        <v>5037500</v>
      </c>
      <c r="N37" s="184">
        <v>110</v>
      </c>
      <c r="O37" s="184">
        <v>26</v>
      </c>
      <c r="P37" s="181">
        <v>4.78</v>
      </c>
      <c r="Q37" s="184">
        <v>45795</v>
      </c>
      <c r="R37" s="184">
        <v>219022</v>
      </c>
      <c r="S37" s="184">
        <v>310378</v>
      </c>
      <c r="T37" s="184">
        <v>217867</v>
      </c>
      <c r="U37" s="184">
        <v>315534</v>
      </c>
      <c r="V37" s="182">
        <v>1.54</v>
      </c>
      <c r="W37" s="183">
        <v>23</v>
      </c>
      <c r="X37" s="185">
        <v>15</v>
      </c>
      <c r="Y37" s="183">
        <v>261341960</v>
      </c>
      <c r="Z37" s="179" t="s">
        <v>270</v>
      </c>
      <c r="AA37" s="183">
        <v>2319130</v>
      </c>
      <c r="AB37" s="184">
        <v>4038485</v>
      </c>
      <c r="AC37" s="184">
        <v>6557540</v>
      </c>
      <c r="AD37" s="184">
        <v>839685</v>
      </c>
      <c r="AE37" s="184">
        <v>4318380</v>
      </c>
      <c r="AF37" s="177" t="s">
        <v>200</v>
      </c>
      <c r="AG37" s="184">
        <v>2279145</v>
      </c>
      <c r="AH37" s="184">
        <v>1999250</v>
      </c>
      <c r="AI37" s="184">
        <v>8876670</v>
      </c>
      <c r="AJ37" s="184">
        <v>20232410</v>
      </c>
      <c r="AK37" s="184">
        <v>3198800</v>
      </c>
      <c r="AL37" s="184">
        <v>11995500</v>
      </c>
      <c r="AM37" s="184">
        <v>919655</v>
      </c>
      <c r="AN37" s="184">
        <v>3438710</v>
      </c>
      <c r="AO37" s="184">
        <v>959640</v>
      </c>
      <c r="AP37" s="184">
        <v>19952515</v>
      </c>
      <c r="AQ37" s="184">
        <v>39985</v>
      </c>
      <c r="AR37" s="184">
        <v>20152440</v>
      </c>
      <c r="AS37" s="184">
        <v>29269020</v>
      </c>
      <c r="AT37" s="184">
        <v>0</v>
      </c>
      <c r="AU37" s="184">
        <v>639760</v>
      </c>
      <c r="AV37" s="184">
        <v>0</v>
      </c>
      <c r="AW37" s="184">
        <v>519805</v>
      </c>
      <c r="AX37" s="184">
        <v>49741340</v>
      </c>
      <c r="AY37" s="184">
        <v>399850</v>
      </c>
      <c r="AZ37" s="184">
        <v>19512680</v>
      </c>
      <c r="BA37" s="184">
        <v>7157315</v>
      </c>
      <c r="BB37" s="184">
        <v>1559415</v>
      </c>
      <c r="BC37" s="177" t="s">
        <v>200</v>
      </c>
      <c r="BD37" s="184">
        <v>4238410</v>
      </c>
      <c r="BE37" s="184">
        <v>3518680</v>
      </c>
      <c r="BF37" s="184">
        <v>1399475</v>
      </c>
      <c r="BG37" s="184">
        <v>28149440</v>
      </c>
      <c r="BH37" s="184">
        <v>1039610</v>
      </c>
      <c r="BI37" s="184">
        <v>2079220</v>
      </c>
      <c r="BJ37" s="187" t="s">
        <v>200</v>
      </c>
    </row>
    <row r="38" spans="2:62" x14ac:dyDescent="0.2">
      <c r="B38" s="175">
        <v>45968</v>
      </c>
      <c r="C38" s="176">
        <v>45968.458810115742</v>
      </c>
      <c r="D38" s="177" t="s">
        <v>271</v>
      </c>
      <c r="E38" s="178" t="s">
        <v>268</v>
      </c>
      <c r="F38" s="179" t="s">
        <v>269</v>
      </c>
      <c r="G38" s="180">
        <v>79.760000000000005</v>
      </c>
      <c r="H38" s="181">
        <v>64</v>
      </c>
      <c r="I38" s="181">
        <v>100</v>
      </c>
      <c r="J38" s="181">
        <v>79.77</v>
      </c>
      <c r="K38" s="182">
        <v>79.599999999999994</v>
      </c>
      <c r="L38" s="183">
        <v>1691000</v>
      </c>
      <c r="M38" s="184">
        <v>3252000</v>
      </c>
      <c r="N38" s="184">
        <v>90</v>
      </c>
      <c r="O38" s="184">
        <v>30</v>
      </c>
      <c r="P38" s="181">
        <v>4.09</v>
      </c>
      <c r="Q38" s="184">
        <v>36133</v>
      </c>
      <c r="R38" s="184">
        <v>147818</v>
      </c>
      <c r="S38" s="184">
        <v>182050</v>
      </c>
      <c r="T38" s="184">
        <v>99471</v>
      </c>
      <c r="U38" s="184">
        <v>171680</v>
      </c>
      <c r="V38" s="182">
        <v>1.92</v>
      </c>
      <c r="W38" s="183">
        <v>22</v>
      </c>
      <c r="X38" s="185">
        <v>17</v>
      </c>
      <c r="Y38" s="183">
        <v>134874160</v>
      </c>
      <c r="Z38" s="179" t="s">
        <v>272</v>
      </c>
      <c r="AA38" s="186" t="s">
        <v>200</v>
      </c>
      <c r="AB38" s="177" t="s">
        <v>200</v>
      </c>
      <c r="AC38" s="177" t="s">
        <v>200</v>
      </c>
      <c r="AD38" s="177" t="s">
        <v>200</v>
      </c>
      <c r="AE38" s="177" t="s">
        <v>200</v>
      </c>
      <c r="AF38" s="184">
        <v>134874160</v>
      </c>
      <c r="AG38" s="177" t="s">
        <v>200</v>
      </c>
      <c r="AH38" s="177" t="s">
        <v>200</v>
      </c>
      <c r="AI38" s="177" t="s">
        <v>200</v>
      </c>
      <c r="AJ38" s="177" t="s">
        <v>200</v>
      </c>
      <c r="AK38" s="177" t="s">
        <v>200</v>
      </c>
      <c r="AL38" s="177" t="s">
        <v>200</v>
      </c>
      <c r="AM38" s="177" t="s">
        <v>200</v>
      </c>
      <c r="AN38" s="177" t="s">
        <v>200</v>
      </c>
      <c r="AO38" s="177" t="s">
        <v>200</v>
      </c>
      <c r="AP38" s="177" t="s">
        <v>200</v>
      </c>
      <c r="AQ38" s="177" t="s">
        <v>200</v>
      </c>
      <c r="AR38" s="177" t="s">
        <v>200</v>
      </c>
      <c r="AS38" s="177" t="s">
        <v>200</v>
      </c>
      <c r="AT38" s="177" t="s">
        <v>200</v>
      </c>
      <c r="AU38" s="177" t="s">
        <v>200</v>
      </c>
      <c r="AV38" s="177" t="s">
        <v>200</v>
      </c>
      <c r="AW38" s="177" t="s">
        <v>200</v>
      </c>
      <c r="AX38" s="177" t="s">
        <v>200</v>
      </c>
      <c r="AY38" s="177" t="s">
        <v>200</v>
      </c>
      <c r="AZ38" s="177" t="s">
        <v>200</v>
      </c>
      <c r="BA38" s="177" t="s">
        <v>200</v>
      </c>
      <c r="BB38" s="177" t="s">
        <v>200</v>
      </c>
      <c r="BC38" s="177" t="s">
        <v>200</v>
      </c>
      <c r="BD38" s="177" t="s">
        <v>200</v>
      </c>
      <c r="BE38" s="177" t="s">
        <v>200</v>
      </c>
      <c r="BF38" s="177" t="s">
        <v>200</v>
      </c>
      <c r="BG38" s="177" t="s">
        <v>200</v>
      </c>
      <c r="BH38" s="177" t="s">
        <v>200</v>
      </c>
      <c r="BI38" s="177" t="s">
        <v>200</v>
      </c>
      <c r="BJ38" s="187" t="s">
        <v>200</v>
      </c>
    </row>
    <row r="39" spans="2:62" x14ac:dyDescent="0.2">
      <c r="B39" s="175">
        <v>45967</v>
      </c>
      <c r="C39" s="176">
        <v>45967.458658298608</v>
      </c>
      <c r="D39" s="177" t="s">
        <v>267</v>
      </c>
      <c r="E39" s="178" t="s">
        <v>268</v>
      </c>
      <c r="F39" s="179" t="s">
        <v>269</v>
      </c>
      <c r="G39" s="180">
        <v>80.069999999999993</v>
      </c>
      <c r="H39" s="181">
        <v>64</v>
      </c>
      <c r="I39" s="181">
        <v>120</v>
      </c>
      <c r="J39" s="181">
        <v>80.75</v>
      </c>
      <c r="K39" s="182">
        <v>80</v>
      </c>
      <c r="L39" s="183">
        <v>3268000</v>
      </c>
      <c r="M39" s="184">
        <v>5005000</v>
      </c>
      <c r="N39" s="184">
        <v>106</v>
      </c>
      <c r="O39" s="184">
        <v>40</v>
      </c>
      <c r="P39" s="181">
        <v>3.66</v>
      </c>
      <c r="Q39" s="184">
        <v>47217</v>
      </c>
      <c r="R39" s="184">
        <v>172586</v>
      </c>
      <c r="S39" s="184">
        <v>219399</v>
      </c>
      <c r="T39" s="184">
        <v>136167</v>
      </c>
      <c r="U39" s="184">
        <v>186718</v>
      </c>
      <c r="V39" s="182">
        <v>1.53</v>
      </c>
      <c r="W39" s="183">
        <v>29</v>
      </c>
      <c r="X39" s="185">
        <v>24</v>
      </c>
      <c r="Y39" s="183">
        <v>261668760</v>
      </c>
      <c r="Z39" s="179" t="s">
        <v>270</v>
      </c>
      <c r="AA39" s="183">
        <v>2322030</v>
      </c>
      <c r="AB39" s="184">
        <v>4043535</v>
      </c>
      <c r="AC39" s="184">
        <v>6565740</v>
      </c>
      <c r="AD39" s="184">
        <v>840735</v>
      </c>
      <c r="AE39" s="184">
        <v>4323780</v>
      </c>
      <c r="AF39" s="177" t="s">
        <v>200</v>
      </c>
      <c r="AG39" s="184">
        <v>2281995</v>
      </c>
      <c r="AH39" s="184">
        <v>2001750</v>
      </c>
      <c r="AI39" s="184">
        <v>8887770</v>
      </c>
      <c r="AJ39" s="184">
        <v>20257710</v>
      </c>
      <c r="AK39" s="184">
        <v>3202800</v>
      </c>
      <c r="AL39" s="184">
        <v>12010500</v>
      </c>
      <c r="AM39" s="184">
        <v>920805</v>
      </c>
      <c r="AN39" s="184">
        <v>3443010</v>
      </c>
      <c r="AO39" s="184">
        <v>960840</v>
      </c>
      <c r="AP39" s="184">
        <v>19977465</v>
      </c>
      <c r="AQ39" s="184">
        <v>40035</v>
      </c>
      <c r="AR39" s="184">
        <v>20177640</v>
      </c>
      <c r="AS39" s="184">
        <v>29305620</v>
      </c>
      <c r="AT39" s="184">
        <v>0</v>
      </c>
      <c r="AU39" s="184">
        <v>640560</v>
      </c>
      <c r="AV39" s="184">
        <v>0</v>
      </c>
      <c r="AW39" s="184">
        <v>520455</v>
      </c>
      <c r="AX39" s="184">
        <v>49803540</v>
      </c>
      <c r="AY39" s="184">
        <v>400350</v>
      </c>
      <c r="AZ39" s="184">
        <v>19537080</v>
      </c>
      <c r="BA39" s="184">
        <v>7166265</v>
      </c>
      <c r="BB39" s="184">
        <v>1561365</v>
      </c>
      <c r="BC39" s="177" t="s">
        <v>200</v>
      </c>
      <c r="BD39" s="184">
        <v>4243710</v>
      </c>
      <c r="BE39" s="184">
        <v>3523080</v>
      </c>
      <c r="BF39" s="184">
        <v>1401225</v>
      </c>
      <c r="BG39" s="184">
        <v>28184640</v>
      </c>
      <c r="BH39" s="184">
        <v>1040910</v>
      </c>
      <c r="BI39" s="184">
        <v>2081820</v>
      </c>
      <c r="BJ39" s="187" t="s">
        <v>200</v>
      </c>
    </row>
    <row r="40" spans="2:62" x14ac:dyDescent="0.2">
      <c r="B40" s="175">
        <v>45965</v>
      </c>
      <c r="C40" s="176">
        <v>45965.459466493056</v>
      </c>
      <c r="D40" s="177" t="s">
        <v>267</v>
      </c>
      <c r="E40" s="178" t="s">
        <v>268</v>
      </c>
      <c r="F40" s="179" t="s">
        <v>269</v>
      </c>
      <c r="G40" s="180">
        <v>81.260000000000005</v>
      </c>
      <c r="H40" s="181">
        <v>64</v>
      </c>
      <c r="I40" s="181">
        <v>150</v>
      </c>
      <c r="J40" s="181">
        <v>81.48</v>
      </c>
      <c r="K40" s="182">
        <v>81.03</v>
      </c>
      <c r="L40" s="183">
        <v>3268000</v>
      </c>
      <c r="M40" s="184">
        <v>5237500</v>
      </c>
      <c r="N40" s="184">
        <v>100</v>
      </c>
      <c r="O40" s="184">
        <v>28</v>
      </c>
      <c r="P40" s="181">
        <v>3.85</v>
      </c>
      <c r="Q40" s="184">
        <v>52375</v>
      </c>
      <c r="R40" s="184">
        <v>201442</v>
      </c>
      <c r="S40" s="184">
        <v>237779</v>
      </c>
      <c r="T40" s="184">
        <v>204250</v>
      </c>
      <c r="U40" s="184">
        <v>205955</v>
      </c>
      <c r="V40" s="182">
        <v>1.6</v>
      </c>
      <c r="W40" s="183">
        <v>26</v>
      </c>
      <c r="X40" s="185">
        <v>16</v>
      </c>
      <c r="Y40" s="183">
        <v>265557680</v>
      </c>
      <c r="Z40" s="179" t="s">
        <v>270</v>
      </c>
      <c r="AA40" s="183">
        <v>2356540</v>
      </c>
      <c r="AB40" s="184">
        <v>4103630</v>
      </c>
      <c r="AC40" s="184">
        <v>6663320</v>
      </c>
      <c r="AD40" s="184">
        <v>853230</v>
      </c>
      <c r="AE40" s="184">
        <v>4388040</v>
      </c>
      <c r="AF40" s="177" t="s">
        <v>200</v>
      </c>
      <c r="AG40" s="184">
        <v>2315910</v>
      </c>
      <c r="AH40" s="184">
        <v>2031500</v>
      </c>
      <c r="AI40" s="184">
        <v>9019860</v>
      </c>
      <c r="AJ40" s="184">
        <v>20558780</v>
      </c>
      <c r="AK40" s="184">
        <v>3250400</v>
      </c>
      <c r="AL40" s="184">
        <v>12189000</v>
      </c>
      <c r="AM40" s="184">
        <v>934490</v>
      </c>
      <c r="AN40" s="184">
        <v>3494180</v>
      </c>
      <c r="AO40" s="184">
        <v>975120</v>
      </c>
      <c r="AP40" s="184">
        <v>20274370</v>
      </c>
      <c r="AQ40" s="184">
        <v>40630</v>
      </c>
      <c r="AR40" s="184">
        <v>20477520</v>
      </c>
      <c r="AS40" s="184">
        <v>29741160</v>
      </c>
      <c r="AT40" s="184">
        <v>0</v>
      </c>
      <c r="AU40" s="184">
        <v>650080</v>
      </c>
      <c r="AV40" s="184">
        <v>0</v>
      </c>
      <c r="AW40" s="184">
        <v>528190</v>
      </c>
      <c r="AX40" s="184">
        <v>50543720</v>
      </c>
      <c r="AY40" s="184">
        <v>406300</v>
      </c>
      <c r="AZ40" s="184">
        <v>19827440</v>
      </c>
      <c r="BA40" s="184">
        <v>7272770</v>
      </c>
      <c r="BB40" s="184">
        <v>1584570</v>
      </c>
      <c r="BC40" s="177" t="s">
        <v>200</v>
      </c>
      <c r="BD40" s="184">
        <v>4306780</v>
      </c>
      <c r="BE40" s="184">
        <v>3575440</v>
      </c>
      <c r="BF40" s="184">
        <v>1422050</v>
      </c>
      <c r="BG40" s="184">
        <v>28603520</v>
      </c>
      <c r="BH40" s="184">
        <v>1056380</v>
      </c>
      <c r="BI40" s="184">
        <v>2112760</v>
      </c>
      <c r="BJ40" s="187" t="s">
        <v>200</v>
      </c>
    </row>
    <row r="41" spans="2:62" x14ac:dyDescent="0.2">
      <c r="B41" s="175">
        <v>45964</v>
      </c>
      <c r="C41" s="176">
        <v>45964.458741805553</v>
      </c>
      <c r="D41" s="177" t="s">
        <v>267</v>
      </c>
      <c r="E41" s="178" t="s">
        <v>268</v>
      </c>
      <c r="F41" s="179" t="s">
        <v>269</v>
      </c>
      <c r="G41" s="180">
        <v>79.3</v>
      </c>
      <c r="H41" s="181">
        <v>64</v>
      </c>
      <c r="I41" s="181">
        <v>85</v>
      </c>
      <c r="J41" s="181">
        <v>78.87</v>
      </c>
      <c r="K41" s="182">
        <v>78.989999999999995</v>
      </c>
      <c r="L41" s="183">
        <v>3268000</v>
      </c>
      <c r="M41" s="184">
        <v>5272000</v>
      </c>
      <c r="N41" s="184">
        <v>95</v>
      </c>
      <c r="O41" s="184">
        <v>23</v>
      </c>
      <c r="P41" s="181">
        <v>3.96</v>
      </c>
      <c r="Q41" s="184">
        <v>55495</v>
      </c>
      <c r="R41" s="184">
        <v>219667</v>
      </c>
      <c r="S41" s="184">
        <v>309204</v>
      </c>
      <c r="T41" s="184">
        <v>217867</v>
      </c>
      <c r="U41" s="184">
        <v>298303</v>
      </c>
      <c r="V41" s="182">
        <v>1.61</v>
      </c>
      <c r="W41" s="183">
        <v>24</v>
      </c>
      <c r="X41" s="185">
        <v>15</v>
      </c>
      <c r="Y41" s="183">
        <v>259152400</v>
      </c>
      <c r="Z41" s="179" t="s">
        <v>270</v>
      </c>
      <c r="AA41" s="183">
        <v>2299700</v>
      </c>
      <c r="AB41" s="184">
        <v>4004650</v>
      </c>
      <c r="AC41" s="184">
        <v>6502600</v>
      </c>
      <c r="AD41" s="184">
        <v>832650</v>
      </c>
      <c r="AE41" s="184">
        <v>4282200</v>
      </c>
      <c r="AF41" s="177" t="s">
        <v>200</v>
      </c>
      <c r="AG41" s="184">
        <v>2260050</v>
      </c>
      <c r="AH41" s="184">
        <v>1982500</v>
      </c>
      <c r="AI41" s="184">
        <v>8802300</v>
      </c>
      <c r="AJ41" s="184">
        <v>20062900</v>
      </c>
      <c r="AK41" s="184">
        <v>3172000</v>
      </c>
      <c r="AL41" s="184">
        <v>11895000</v>
      </c>
      <c r="AM41" s="184">
        <v>911950</v>
      </c>
      <c r="AN41" s="184">
        <v>3409900</v>
      </c>
      <c r="AO41" s="184">
        <v>951600</v>
      </c>
      <c r="AP41" s="184">
        <v>19785350</v>
      </c>
      <c r="AQ41" s="184">
        <v>39650</v>
      </c>
      <c r="AR41" s="184">
        <v>19983600</v>
      </c>
      <c r="AS41" s="184">
        <v>29023800</v>
      </c>
      <c r="AT41" s="184">
        <v>0</v>
      </c>
      <c r="AU41" s="184">
        <v>634400</v>
      </c>
      <c r="AV41" s="184">
        <v>0</v>
      </c>
      <c r="AW41" s="184">
        <v>515450</v>
      </c>
      <c r="AX41" s="184">
        <v>49324600</v>
      </c>
      <c r="AY41" s="184">
        <v>396500</v>
      </c>
      <c r="AZ41" s="184">
        <v>19349200</v>
      </c>
      <c r="BA41" s="184">
        <v>7097350</v>
      </c>
      <c r="BB41" s="184">
        <v>1546350</v>
      </c>
      <c r="BC41" s="177" t="s">
        <v>200</v>
      </c>
      <c r="BD41" s="184">
        <v>4202900</v>
      </c>
      <c r="BE41" s="184">
        <v>3489200</v>
      </c>
      <c r="BF41" s="184">
        <v>1387750</v>
      </c>
      <c r="BG41" s="184">
        <v>27913600</v>
      </c>
      <c r="BH41" s="184">
        <v>1030900</v>
      </c>
      <c r="BI41" s="184">
        <v>2061800</v>
      </c>
      <c r="BJ41" s="187" t="s">
        <v>200</v>
      </c>
    </row>
    <row r="42" spans="2:62" x14ac:dyDescent="0.2">
      <c r="B42" s="175">
        <v>45961</v>
      </c>
      <c r="C42" s="176">
        <v>45961.458741689814</v>
      </c>
      <c r="D42" s="177" t="s">
        <v>271</v>
      </c>
      <c r="E42" s="178" t="s">
        <v>268</v>
      </c>
      <c r="F42" s="179" t="s">
        <v>269</v>
      </c>
      <c r="G42" s="180">
        <v>78.66</v>
      </c>
      <c r="H42" s="181">
        <v>0.01</v>
      </c>
      <c r="I42" s="181">
        <v>85</v>
      </c>
      <c r="J42" s="181">
        <v>77.400000000000006</v>
      </c>
      <c r="K42" s="182">
        <v>78.510000000000005</v>
      </c>
      <c r="L42" s="183">
        <v>1691000</v>
      </c>
      <c r="M42" s="184">
        <v>3390500</v>
      </c>
      <c r="N42" s="184">
        <v>78</v>
      </c>
      <c r="O42" s="184">
        <v>24</v>
      </c>
      <c r="P42" s="181">
        <v>3.71</v>
      </c>
      <c r="Q42" s="184">
        <v>43468</v>
      </c>
      <c r="R42" s="184">
        <v>161452</v>
      </c>
      <c r="S42" s="184">
        <v>228933</v>
      </c>
      <c r="T42" s="184">
        <v>105688</v>
      </c>
      <c r="U42" s="184">
        <v>236311</v>
      </c>
      <c r="V42" s="182">
        <v>2.0099999999999998</v>
      </c>
      <c r="W42" s="183">
        <v>21</v>
      </c>
      <c r="X42" s="185">
        <v>16</v>
      </c>
      <c r="Y42" s="183">
        <v>133014060</v>
      </c>
      <c r="Z42" s="179" t="s">
        <v>272</v>
      </c>
      <c r="AA42" s="186" t="s">
        <v>200</v>
      </c>
      <c r="AB42" s="177" t="s">
        <v>200</v>
      </c>
      <c r="AC42" s="177" t="s">
        <v>200</v>
      </c>
      <c r="AD42" s="177" t="s">
        <v>200</v>
      </c>
      <c r="AE42" s="177" t="s">
        <v>200</v>
      </c>
      <c r="AF42" s="184">
        <v>133014060</v>
      </c>
      <c r="AG42" s="177" t="s">
        <v>200</v>
      </c>
      <c r="AH42" s="177" t="s">
        <v>200</v>
      </c>
      <c r="AI42" s="177" t="s">
        <v>200</v>
      </c>
      <c r="AJ42" s="177" t="s">
        <v>200</v>
      </c>
      <c r="AK42" s="177" t="s">
        <v>200</v>
      </c>
      <c r="AL42" s="177" t="s">
        <v>200</v>
      </c>
      <c r="AM42" s="177" t="s">
        <v>200</v>
      </c>
      <c r="AN42" s="177" t="s">
        <v>200</v>
      </c>
      <c r="AO42" s="177" t="s">
        <v>200</v>
      </c>
      <c r="AP42" s="177" t="s">
        <v>200</v>
      </c>
      <c r="AQ42" s="177" t="s">
        <v>200</v>
      </c>
      <c r="AR42" s="177" t="s">
        <v>200</v>
      </c>
      <c r="AS42" s="177" t="s">
        <v>200</v>
      </c>
      <c r="AT42" s="177" t="s">
        <v>200</v>
      </c>
      <c r="AU42" s="177" t="s">
        <v>200</v>
      </c>
      <c r="AV42" s="177" t="s">
        <v>200</v>
      </c>
      <c r="AW42" s="177" t="s">
        <v>200</v>
      </c>
      <c r="AX42" s="177" t="s">
        <v>200</v>
      </c>
      <c r="AY42" s="177" t="s">
        <v>200</v>
      </c>
      <c r="AZ42" s="177" t="s">
        <v>200</v>
      </c>
      <c r="BA42" s="177" t="s">
        <v>200</v>
      </c>
      <c r="BB42" s="177" t="s">
        <v>200</v>
      </c>
      <c r="BC42" s="177" t="s">
        <v>200</v>
      </c>
      <c r="BD42" s="177" t="s">
        <v>200</v>
      </c>
      <c r="BE42" s="177" t="s">
        <v>200</v>
      </c>
      <c r="BF42" s="177" t="s">
        <v>200</v>
      </c>
      <c r="BG42" s="177" t="s">
        <v>200</v>
      </c>
      <c r="BH42" s="177" t="s">
        <v>200</v>
      </c>
      <c r="BI42" s="177" t="s">
        <v>200</v>
      </c>
      <c r="BJ42" s="187" t="s">
        <v>200</v>
      </c>
    </row>
    <row r="43" spans="2:62" x14ac:dyDescent="0.2">
      <c r="B43" s="175">
        <v>45960</v>
      </c>
      <c r="C43" s="176">
        <v>45960.458692916669</v>
      </c>
      <c r="D43" s="177" t="s">
        <v>267</v>
      </c>
      <c r="E43" s="178" t="s">
        <v>268</v>
      </c>
      <c r="F43" s="179" t="s">
        <v>269</v>
      </c>
      <c r="G43" s="180">
        <v>78.709999999999994</v>
      </c>
      <c r="H43" s="181">
        <v>64</v>
      </c>
      <c r="I43" s="181">
        <v>150</v>
      </c>
      <c r="J43" s="181">
        <v>80.16</v>
      </c>
      <c r="K43" s="182">
        <v>78.510000000000005</v>
      </c>
      <c r="L43" s="183">
        <v>3268000</v>
      </c>
      <c r="M43" s="184">
        <v>5240000</v>
      </c>
      <c r="N43" s="184">
        <v>88</v>
      </c>
      <c r="O43" s="184">
        <v>28</v>
      </c>
      <c r="P43" s="181">
        <v>4</v>
      </c>
      <c r="Q43" s="184">
        <v>59545</v>
      </c>
      <c r="R43" s="184">
        <v>238182</v>
      </c>
      <c r="S43" s="184">
        <v>324151</v>
      </c>
      <c r="T43" s="184">
        <v>217867</v>
      </c>
      <c r="U43" s="184">
        <v>327356</v>
      </c>
      <c r="V43" s="182">
        <v>1.6</v>
      </c>
      <c r="W43" s="183">
        <v>22</v>
      </c>
      <c r="X43" s="185">
        <v>15</v>
      </c>
      <c r="Y43" s="183">
        <v>257224280</v>
      </c>
      <c r="Z43" s="179" t="s">
        <v>270</v>
      </c>
      <c r="AA43" s="183">
        <v>2282590</v>
      </c>
      <c r="AB43" s="184">
        <v>3974855</v>
      </c>
      <c r="AC43" s="184">
        <v>6454220</v>
      </c>
      <c r="AD43" s="184">
        <v>826455</v>
      </c>
      <c r="AE43" s="184">
        <v>4250340</v>
      </c>
      <c r="AF43" s="177" t="s">
        <v>200</v>
      </c>
      <c r="AG43" s="184">
        <v>2243235</v>
      </c>
      <c r="AH43" s="184">
        <v>1967750</v>
      </c>
      <c r="AI43" s="184">
        <v>8736810</v>
      </c>
      <c r="AJ43" s="184">
        <v>19913630</v>
      </c>
      <c r="AK43" s="184">
        <v>3148400</v>
      </c>
      <c r="AL43" s="184">
        <v>11806500</v>
      </c>
      <c r="AM43" s="184">
        <v>905165</v>
      </c>
      <c r="AN43" s="184">
        <v>3384530</v>
      </c>
      <c r="AO43" s="184">
        <v>944520</v>
      </c>
      <c r="AP43" s="184">
        <v>19638145</v>
      </c>
      <c r="AQ43" s="184">
        <v>39355</v>
      </c>
      <c r="AR43" s="184">
        <v>19834920</v>
      </c>
      <c r="AS43" s="184">
        <v>28807860</v>
      </c>
      <c r="AT43" s="184">
        <v>0</v>
      </c>
      <c r="AU43" s="184">
        <v>629680</v>
      </c>
      <c r="AV43" s="184">
        <v>0</v>
      </c>
      <c r="AW43" s="184">
        <v>511615</v>
      </c>
      <c r="AX43" s="184">
        <v>48957620</v>
      </c>
      <c r="AY43" s="184">
        <v>393550</v>
      </c>
      <c r="AZ43" s="184">
        <v>19205240</v>
      </c>
      <c r="BA43" s="184">
        <v>7044545</v>
      </c>
      <c r="BB43" s="184">
        <v>1534845</v>
      </c>
      <c r="BC43" s="177" t="s">
        <v>200</v>
      </c>
      <c r="BD43" s="184">
        <v>4171630</v>
      </c>
      <c r="BE43" s="184">
        <v>3463240</v>
      </c>
      <c r="BF43" s="184">
        <v>1377425</v>
      </c>
      <c r="BG43" s="184">
        <v>27705920</v>
      </c>
      <c r="BH43" s="184">
        <v>1023230</v>
      </c>
      <c r="BI43" s="184">
        <v>2046460</v>
      </c>
      <c r="BJ43" s="187" t="s">
        <v>200</v>
      </c>
    </row>
    <row r="44" spans="2:62" x14ac:dyDescent="0.2">
      <c r="B44" s="175">
        <v>45959</v>
      </c>
      <c r="C44" s="176">
        <v>45959.458649895831</v>
      </c>
      <c r="D44" s="177" t="s">
        <v>273</v>
      </c>
      <c r="E44" s="178" t="s">
        <v>268</v>
      </c>
      <c r="F44" s="179" t="s">
        <v>269</v>
      </c>
      <c r="G44" s="180">
        <v>78.55</v>
      </c>
      <c r="H44" s="181">
        <v>64</v>
      </c>
      <c r="I44" s="181">
        <v>150</v>
      </c>
      <c r="J44" s="181">
        <v>79.540000000000006</v>
      </c>
      <c r="K44" s="182">
        <v>78.33</v>
      </c>
      <c r="L44" s="183">
        <v>2162500</v>
      </c>
      <c r="M44" s="184">
        <v>4135500</v>
      </c>
      <c r="N44" s="184">
        <v>100</v>
      </c>
      <c r="O44" s="184">
        <v>22</v>
      </c>
      <c r="P44" s="181">
        <v>4.17</v>
      </c>
      <c r="Q44" s="184">
        <v>41355</v>
      </c>
      <c r="R44" s="184">
        <v>172313</v>
      </c>
      <c r="S44" s="184">
        <v>232142</v>
      </c>
      <c r="T44" s="184">
        <v>154464</v>
      </c>
      <c r="U44" s="184">
        <v>278328</v>
      </c>
      <c r="V44" s="182">
        <v>1.91</v>
      </c>
      <c r="W44" s="183">
        <v>24</v>
      </c>
      <c r="X44" s="185">
        <v>14</v>
      </c>
      <c r="Y44" s="183">
        <v>169864375</v>
      </c>
      <c r="Z44" s="179" t="s">
        <v>274</v>
      </c>
      <c r="AA44" s="186" t="s">
        <v>200</v>
      </c>
      <c r="AB44" s="177" t="s">
        <v>200</v>
      </c>
      <c r="AC44" s="177" t="s">
        <v>200</v>
      </c>
      <c r="AD44" s="177" t="s">
        <v>200</v>
      </c>
      <c r="AE44" s="177" t="s">
        <v>200</v>
      </c>
      <c r="AF44" s="177" t="s">
        <v>200</v>
      </c>
      <c r="AG44" s="177" t="s">
        <v>200</v>
      </c>
      <c r="AH44" s="177" t="s">
        <v>200</v>
      </c>
      <c r="AI44" s="177" t="s">
        <v>200</v>
      </c>
      <c r="AJ44" s="177" t="s">
        <v>200</v>
      </c>
      <c r="AK44" s="177" t="s">
        <v>200</v>
      </c>
      <c r="AL44" s="177" t="s">
        <v>200</v>
      </c>
      <c r="AM44" s="177" t="s">
        <v>200</v>
      </c>
      <c r="AN44" s="177" t="s">
        <v>200</v>
      </c>
      <c r="AO44" s="177" t="s">
        <v>200</v>
      </c>
      <c r="AP44" s="177" t="s">
        <v>200</v>
      </c>
      <c r="AQ44" s="177" t="s">
        <v>200</v>
      </c>
      <c r="AR44" s="177" t="s">
        <v>200</v>
      </c>
      <c r="AS44" s="177" t="s">
        <v>200</v>
      </c>
      <c r="AT44" s="177" t="s">
        <v>200</v>
      </c>
      <c r="AU44" s="177" t="s">
        <v>200</v>
      </c>
      <c r="AV44" s="177" t="s">
        <v>200</v>
      </c>
      <c r="AW44" s="177" t="s">
        <v>200</v>
      </c>
      <c r="AX44" s="177" t="s">
        <v>200</v>
      </c>
      <c r="AY44" s="177" t="s">
        <v>200</v>
      </c>
      <c r="AZ44" s="177" t="s">
        <v>200</v>
      </c>
      <c r="BA44" s="177" t="s">
        <v>200</v>
      </c>
      <c r="BB44" s="177" t="s">
        <v>200</v>
      </c>
      <c r="BC44" s="184">
        <v>169864375</v>
      </c>
      <c r="BD44" s="177" t="s">
        <v>200</v>
      </c>
      <c r="BE44" s="177" t="s">
        <v>200</v>
      </c>
      <c r="BF44" s="177" t="s">
        <v>200</v>
      </c>
      <c r="BG44" s="177" t="s">
        <v>200</v>
      </c>
      <c r="BH44" s="177" t="s">
        <v>200</v>
      </c>
      <c r="BI44" s="177" t="s">
        <v>200</v>
      </c>
      <c r="BJ44" s="187" t="s">
        <v>200</v>
      </c>
    </row>
    <row r="45" spans="2:62" x14ac:dyDescent="0.2">
      <c r="B45" s="175">
        <v>45958</v>
      </c>
      <c r="C45" s="176">
        <v>45958.458850277777</v>
      </c>
      <c r="D45" s="177" t="s">
        <v>267</v>
      </c>
      <c r="E45" s="178" t="s">
        <v>268</v>
      </c>
      <c r="F45" s="179" t="s">
        <v>269</v>
      </c>
      <c r="G45" s="180">
        <v>77.849999999999994</v>
      </c>
      <c r="H45" s="181">
        <v>62</v>
      </c>
      <c r="I45" s="181">
        <v>100</v>
      </c>
      <c r="J45" s="181">
        <v>77.709999999999994</v>
      </c>
      <c r="K45" s="182">
        <v>77.650000000000006</v>
      </c>
      <c r="L45" s="183">
        <v>3268000</v>
      </c>
      <c r="M45" s="184">
        <v>5305500</v>
      </c>
      <c r="N45" s="184">
        <v>94</v>
      </c>
      <c r="O45" s="184">
        <v>26</v>
      </c>
      <c r="P45" s="181">
        <v>4.4800000000000004</v>
      </c>
      <c r="Q45" s="184">
        <v>56441</v>
      </c>
      <c r="R45" s="184">
        <v>252643</v>
      </c>
      <c r="S45" s="184">
        <v>344324</v>
      </c>
      <c r="T45" s="184">
        <v>233429</v>
      </c>
      <c r="U45" s="184">
        <v>323718</v>
      </c>
      <c r="V45" s="182">
        <v>1.62</v>
      </c>
      <c r="W45" s="183">
        <v>21</v>
      </c>
      <c r="X45" s="185">
        <v>14</v>
      </c>
      <c r="Y45" s="183">
        <v>254413800</v>
      </c>
      <c r="Z45" s="179" t="s">
        <v>270</v>
      </c>
      <c r="AA45" s="183">
        <v>2257650</v>
      </c>
      <c r="AB45" s="184">
        <v>3931425</v>
      </c>
      <c r="AC45" s="184">
        <v>6383700</v>
      </c>
      <c r="AD45" s="184">
        <v>817425</v>
      </c>
      <c r="AE45" s="184">
        <v>4203900</v>
      </c>
      <c r="AF45" s="177" t="s">
        <v>200</v>
      </c>
      <c r="AG45" s="184">
        <v>2218725</v>
      </c>
      <c r="AH45" s="184">
        <v>1946250</v>
      </c>
      <c r="AI45" s="184">
        <v>8641350</v>
      </c>
      <c r="AJ45" s="184">
        <v>19696050</v>
      </c>
      <c r="AK45" s="184">
        <v>3114000</v>
      </c>
      <c r="AL45" s="184">
        <v>11677500</v>
      </c>
      <c r="AM45" s="184">
        <v>895275</v>
      </c>
      <c r="AN45" s="184">
        <v>3347550</v>
      </c>
      <c r="AO45" s="184">
        <v>934200</v>
      </c>
      <c r="AP45" s="184">
        <v>19423575</v>
      </c>
      <c r="AQ45" s="184">
        <v>38925</v>
      </c>
      <c r="AR45" s="184">
        <v>19618200</v>
      </c>
      <c r="AS45" s="184">
        <v>28493100</v>
      </c>
      <c r="AT45" s="184">
        <v>0</v>
      </c>
      <c r="AU45" s="184">
        <v>622800</v>
      </c>
      <c r="AV45" s="184">
        <v>0</v>
      </c>
      <c r="AW45" s="184">
        <v>506025</v>
      </c>
      <c r="AX45" s="184">
        <v>48422700</v>
      </c>
      <c r="AY45" s="184">
        <v>389250</v>
      </c>
      <c r="AZ45" s="184">
        <v>18995400</v>
      </c>
      <c r="BA45" s="184">
        <v>6967575</v>
      </c>
      <c r="BB45" s="184">
        <v>1518075</v>
      </c>
      <c r="BC45" s="177" t="s">
        <v>200</v>
      </c>
      <c r="BD45" s="184">
        <v>4126050</v>
      </c>
      <c r="BE45" s="184">
        <v>3425400</v>
      </c>
      <c r="BF45" s="184">
        <v>1362375</v>
      </c>
      <c r="BG45" s="184">
        <v>27403200</v>
      </c>
      <c r="BH45" s="184">
        <v>1012050</v>
      </c>
      <c r="BI45" s="184">
        <v>2024100</v>
      </c>
      <c r="BJ45" s="187" t="s">
        <v>200</v>
      </c>
    </row>
    <row r="46" spans="2:62" x14ac:dyDescent="0.2">
      <c r="B46" s="175">
        <v>45957</v>
      </c>
      <c r="C46" s="176">
        <v>45957.458504328701</v>
      </c>
      <c r="D46" s="177" t="s">
        <v>267</v>
      </c>
      <c r="E46" s="178" t="s">
        <v>268</v>
      </c>
      <c r="F46" s="179" t="s">
        <v>269</v>
      </c>
      <c r="G46" s="180">
        <v>77.56</v>
      </c>
      <c r="H46" s="181">
        <v>62</v>
      </c>
      <c r="I46" s="181">
        <v>89.77</v>
      </c>
      <c r="J46" s="181">
        <v>77.349999999999994</v>
      </c>
      <c r="K46" s="182">
        <v>77.31</v>
      </c>
      <c r="L46" s="183">
        <v>3268000</v>
      </c>
      <c r="M46" s="184">
        <v>4684000</v>
      </c>
      <c r="N46" s="184">
        <v>81</v>
      </c>
      <c r="O46" s="184">
        <v>24</v>
      </c>
      <c r="P46" s="181">
        <v>3.68</v>
      </c>
      <c r="Q46" s="184">
        <v>57827</v>
      </c>
      <c r="R46" s="184">
        <v>212909</v>
      </c>
      <c r="S46" s="184">
        <v>359031</v>
      </c>
      <c r="T46" s="184">
        <v>204250</v>
      </c>
      <c r="U46" s="184">
        <v>350340</v>
      </c>
      <c r="V46" s="182">
        <v>1.43</v>
      </c>
      <c r="W46" s="183">
        <v>22</v>
      </c>
      <c r="X46" s="185">
        <v>16</v>
      </c>
      <c r="Y46" s="183">
        <v>253466080</v>
      </c>
      <c r="Z46" s="179" t="s">
        <v>270</v>
      </c>
      <c r="AA46" s="183">
        <v>2249240</v>
      </c>
      <c r="AB46" s="184">
        <v>3916780</v>
      </c>
      <c r="AC46" s="184">
        <v>6359920</v>
      </c>
      <c r="AD46" s="184">
        <v>814380</v>
      </c>
      <c r="AE46" s="184">
        <v>4188240</v>
      </c>
      <c r="AF46" s="177" t="s">
        <v>200</v>
      </c>
      <c r="AG46" s="184">
        <v>2210460</v>
      </c>
      <c r="AH46" s="184">
        <v>1939000</v>
      </c>
      <c r="AI46" s="184">
        <v>8609160</v>
      </c>
      <c r="AJ46" s="184">
        <v>19622680</v>
      </c>
      <c r="AK46" s="184">
        <v>3102400</v>
      </c>
      <c r="AL46" s="184">
        <v>11634000</v>
      </c>
      <c r="AM46" s="184">
        <v>891940</v>
      </c>
      <c r="AN46" s="184">
        <v>3335080</v>
      </c>
      <c r="AO46" s="184">
        <v>930720</v>
      </c>
      <c r="AP46" s="184">
        <v>19351220</v>
      </c>
      <c r="AQ46" s="184">
        <v>38780</v>
      </c>
      <c r="AR46" s="184">
        <v>19545120</v>
      </c>
      <c r="AS46" s="184">
        <v>28386960</v>
      </c>
      <c r="AT46" s="184">
        <v>0</v>
      </c>
      <c r="AU46" s="184">
        <v>620480</v>
      </c>
      <c r="AV46" s="184">
        <v>0</v>
      </c>
      <c r="AW46" s="184">
        <v>504140</v>
      </c>
      <c r="AX46" s="184">
        <v>48242320</v>
      </c>
      <c r="AY46" s="184">
        <v>387800</v>
      </c>
      <c r="AZ46" s="184">
        <v>18924640</v>
      </c>
      <c r="BA46" s="184">
        <v>6941620</v>
      </c>
      <c r="BB46" s="184">
        <v>1512420</v>
      </c>
      <c r="BC46" s="177" t="s">
        <v>200</v>
      </c>
      <c r="BD46" s="184">
        <v>4110680</v>
      </c>
      <c r="BE46" s="184">
        <v>3412640</v>
      </c>
      <c r="BF46" s="184">
        <v>1357300</v>
      </c>
      <c r="BG46" s="184">
        <v>27301120</v>
      </c>
      <c r="BH46" s="184">
        <v>1008280</v>
      </c>
      <c r="BI46" s="184">
        <v>2016560</v>
      </c>
      <c r="BJ46" s="187" t="s">
        <v>200</v>
      </c>
    </row>
    <row r="47" spans="2:62" x14ac:dyDescent="0.2">
      <c r="B47" s="175">
        <v>45954</v>
      </c>
      <c r="C47" s="176">
        <v>45954.458673969908</v>
      </c>
      <c r="D47" s="177" t="s">
        <v>271</v>
      </c>
      <c r="E47" s="178" t="s">
        <v>268</v>
      </c>
      <c r="F47" s="179" t="s">
        <v>269</v>
      </c>
      <c r="G47" s="180">
        <v>78.47</v>
      </c>
      <c r="H47" s="181">
        <v>62</v>
      </c>
      <c r="I47" s="181">
        <v>85</v>
      </c>
      <c r="J47" s="181">
        <v>77.95</v>
      </c>
      <c r="K47" s="182">
        <v>78.2</v>
      </c>
      <c r="L47" s="183">
        <v>1691000</v>
      </c>
      <c r="M47" s="184">
        <v>3429000</v>
      </c>
      <c r="N47" s="184">
        <v>82</v>
      </c>
      <c r="O47" s="184">
        <v>20</v>
      </c>
      <c r="P47" s="181">
        <v>3.42</v>
      </c>
      <c r="Q47" s="184">
        <v>41817</v>
      </c>
      <c r="R47" s="184">
        <v>142875</v>
      </c>
      <c r="S47" s="184">
        <v>250710</v>
      </c>
      <c r="T47" s="184">
        <v>169100</v>
      </c>
      <c r="U47" s="184">
        <v>345347</v>
      </c>
      <c r="V47" s="182">
        <v>2.0299999999999998</v>
      </c>
      <c r="W47" s="183">
        <v>24</v>
      </c>
      <c r="X47" s="185">
        <v>10</v>
      </c>
      <c r="Y47" s="183">
        <v>132692770</v>
      </c>
      <c r="Z47" s="179" t="s">
        <v>272</v>
      </c>
      <c r="AA47" s="186" t="s">
        <v>200</v>
      </c>
      <c r="AB47" s="177" t="s">
        <v>200</v>
      </c>
      <c r="AC47" s="177" t="s">
        <v>200</v>
      </c>
      <c r="AD47" s="177" t="s">
        <v>200</v>
      </c>
      <c r="AE47" s="177" t="s">
        <v>200</v>
      </c>
      <c r="AF47" s="184">
        <v>132692770</v>
      </c>
      <c r="AG47" s="177" t="s">
        <v>200</v>
      </c>
      <c r="AH47" s="177" t="s">
        <v>200</v>
      </c>
      <c r="AI47" s="177" t="s">
        <v>200</v>
      </c>
      <c r="AJ47" s="177" t="s">
        <v>200</v>
      </c>
      <c r="AK47" s="177" t="s">
        <v>200</v>
      </c>
      <c r="AL47" s="177" t="s">
        <v>200</v>
      </c>
      <c r="AM47" s="177" t="s">
        <v>200</v>
      </c>
      <c r="AN47" s="177" t="s">
        <v>200</v>
      </c>
      <c r="AO47" s="177" t="s">
        <v>200</v>
      </c>
      <c r="AP47" s="177" t="s">
        <v>200</v>
      </c>
      <c r="AQ47" s="177" t="s">
        <v>200</v>
      </c>
      <c r="AR47" s="177" t="s">
        <v>200</v>
      </c>
      <c r="AS47" s="177" t="s">
        <v>200</v>
      </c>
      <c r="AT47" s="177" t="s">
        <v>200</v>
      </c>
      <c r="AU47" s="177" t="s">
        <v>200</v>
      </c>
      <c r="AV47" s="177" t="s">
        <v>200</v>
      </c>
      <c r="AW47" s="177" t="s">
        <v>200</v>
      </c>
      <c r="AX47" s="177" t="s">
        <v>200</v>
      </c>
      <c r="AY47" s="177" t="s">
        <v>200</v>
      </c>
      <c r="AZ47" s="177" t="s">
        <v>200</v>
      </c>
      <c r="BA47" s="177" t="s">
        <v>200</v>
      </c>
      <c r="BB47" s="177" t="s">
        <v>200</v>
      </c>
      <c r="BC47" s="177" t="s">
        <v>200</v>
      </c>
      <c r="BD47" s="177" t="s">
        <v>200</v>
      </c>
      <c r="BE47" s="177" t="s">
        <v>200</v>
      </c>
      <c r="BF47" s="177" t="s">
        <v>200</v>
      </c>
      <c r="BG47" s="177" t="s">
        <v>200</v>
      </c>
      <c r="BH47" s="177" t="s">
        <v>200</v>
      </c>
      <c r="BI47" s="177" t="s">
        <v>200</v>
      </c>
      <c r="BJ47" s="187" t="s">
        <v>200</v>
      </c>
    </row>
    <row r="48" spans="2:62" x14ac:dyDescent="0.2">
      <c r="B48" s="175">
        <v>45953</v>
      </c>
      <c r="C48" s="176">
        <v>45953.458701261574</v>
      </c>
      <c r="D48" s="177" t="s">
        <v>267</v>
      </c>
      <c r="E48" s="178" t="s">
        <v>268</v>
      </c>
      <c r="F48" s="179" t="s">
        <v>269</v>
      </c>
      <c r="G48" s="180">
        <v>78.540000000000006</v>
      </c>
      <c r="H48" s="181">
        <v>62</v>
      </c>
      <c r="I48" s="181">
        <v>85</v>
      </c>
      <c r="J48" s="181">
        <v>78.239999999999995</v>
      </c>
      <c r="K48" s="182">
        <v>78.3</v>
      </c>
      <c r="L48" s="183">
        <v>3268000</v>
      </c>
      <c r="M48" s="184">
        <v>5336500</v>
      </c>
      <c r="N48" s="184">
        <v>89</v>
      </c>
      <c r="O48" s="184">
        <v>26</v>
      </c>
      <c r="P48" s="181">
        <v>3.87</v>
      </c>
      <c r="Q48" s="184">
        <v>59961</v>
      </c>
      <c r="R48" s="184">
        <v>232022</v>
      </c>
      <c r="S48" s="184">
        <v>288904</v>
      </c>
      <c r="T48" s="184">
        <v>217867</v>
      </c>
      <c r="U48" s="184">
        <v>260109</v>
      </c>
      <c r="V48" s="182">
        <v>1.63</v>
      </c>
      <c r="W48" s="183">
        <v>23</v>
      </c>
      <c r="X48" s="185">
        <v>15</v>
      </c>
      <c r="Y48" s="183">
        <v>256668720</v>
      </c>
      <c r="Z48" s="179" t="s">
        <v>270</v>
      </c>
      <c r="AA48" s="183">
        <v>2277660</v>
      </c>
      <c r="AB48" s="184">
        <v>3966270</v>
      </c>
      <c r="AC48" s="184">
        <v>6440280</v>
      </c>
      <c r="AD48" s="184">
        <v>824670</v>
      </c>
      <c r="AE48" s="184">
        <v>4241160</v>
      </c>
      <c r="AF48" s="177" t="s">
        <v>200</v>
      </c>
      <c r="AG48" s="184">
        <v>2238390</v>
      </c>
      <c r="AH48" s="184">
        <v>1963500</v>
      </c>
      <c r="AI48" s="184">
        <v>8717940</v>
      </c>
      <c r="AJ48" s="184">
        <v>19870620</v>
      </c>
      <c r="AK48" s="184">
        <v>3141600</v>
      </c>
      <c r="AL48" s="184">
        <v>11781000</v>
      </c>
      <c r="AM48" s="184">
        <v>903210</v>
      </c>
      <c r="AN48" s="184">
        <v>3377220</v>
      </c>
      <c r="AO48" s="184">
        <v>942480</v>
      </c>
      <c r="AP48" s="184">
        <v>19595730</v>
      </c>
      <c r="AQ48" s="184">
        <v>39270</v>
      </c>
      <c r="AR48" s="184">
        <v>19792080</v>
      </c>
      <c r="AS48" s="184">
        <v>28745640</v>
      </c>
      <c r="AT48" s="184">
        <v>0</v>
      </c>
      <c r="AU48" s="184">
        <v>628320</v>
      </c>
      <c r="AV48" s="184">
        <v>0</v>
      </c>
      <c r="AW48" s="184">
        <v>510510</v>
      </c>
      <c r="AX48" s="184">
        <v>48851880</v>
      </c>
      <c r="AY48" s="184">
        <v>392700</v>
      </c>
      <c r="AZ48" s="184">
        <v>19163760</v>
      </c>
      <c r="BA48" s="184">
        <v>7029330</v>
      </c>
      <c r="BB48" s="184">
        <v>1531530</v>
      </c>
      <c r="BC48" s="177" t="s">
        <v>200</v>
      </c>
      <c r="BD48" s="184">
        <v>4162620</v>
      </c>
      <c r="BE48" s="184">
        <v>3455760</v>
      </c>
      <c r="BF48" s="184">
        <v>1374450</v>
      </c>
      <c r="BG48" s="184">
        <v>27646080</v>
      </c>
      <c r="BH48" s="184">
        <v>1021020</v>
      </c>
      <c r="BI48" s="184">
        <v>2042040</v>
      </c>
      <c r="BJ48" s="187" t="s">
        <v>200</v>
      </c>
    </row>
    <row r="49" spans="2:62" x14ac:dyDescent="0.2">
      <c r="B49" s="175">
        <v>45951</v>
      </c>
      <c r="C49" s="176">
        <v>45951.458709409722</v>
      </c>
      <c r="D49" s="177" t="s">
        <v>267</v>
      </c>
      <c r="E49" s="178" t="s">
        <v>268</v>
      </c>
      <c r="F49" s="179" t="s">
        <v>269</v>
      </c>
      <c r="G49" s="180">
        <v>78.94</v>
      </c>
      <c r="H49" s="181">
        <v>62</v>
      </c>
      <c r="I49" s="181">
        <v>100</v>
      </c>
      <c r="J49" s="181">
        <v>78.88</v>
      </c>
      <c r="K49" s="182">
        <v>78.66</v>
      </c>
      <c r="L49" s="183">
        <v>3268000</v>
      </c>
      <c r="M49" s="184">
        <v>5626500</v>
      </c>
      <c r="N49" s="184">
        <v>115</v>
      </c>
      <c r="O49" s="184">
        <v>33</v>
      </c>
      <c r="P49" s="181">
        <v>4.1100000000000003</v>
      </c>
      <c r="Q49" s="184">
        <v>48926</v>
      </c>
      <c r="R49" s="184">
        <v>200946</v>
      </c>
      <c r="S49" s="184">
        <v>250140</v>
      </c>
      <c r="T49" s="184">
        <v>192235</v>
      </c>
      <c r="U49" s="184">
        <v>239086</v>
      </c>
      <c r="V49" s="182">
        <v>1.72</v>
      </c>
      <c r="W49" s="183">
        <v>28</v>
      </c>
      <c r="X49" s="185">
        <v>17</v>
      </c>
      <c r="Y49" s="183">
        <v>257975920</v>
      </c>
      <c r="Z49" s="179" t="s">
        <v>270</v>
      </c>
      <c r="AA49" s="183">
        <v>2289260</v>
      </c>
      <c r="AB49" s="184">
        <v>3986470</v>
      </c>
      <c r="AC49" s="184">
        <v>6473080</v>
      </c>
      <c r="AD49" s="184">
        <v>828870</v>
      </c>
      <c r="AE49" s="184">
        <v>4262760</v>
      </c>
      <c r="AF49" s="177" t="s">
        <v>200</v>
      </c>
      <c r="AG49" s="184">
        <v>2249790</v>
      </c>
      <c r="AH49" s="184">
        <v>1973500</v>
      </c>
      <c r="AI49" s="184">
        <v>8762340</v>
      </c>
      <c r="AJ49" s="184">
        <v>19971820</v>
      </c>
      <c r="AK49" s="184">
        <v>3157600</v>
      </c>
      <c r="AL49" s="184">
        <v>11841000</v>
      </c>
      <c r="AM49" s="184">
        <v>907810</v>
      </c>
      <c r="AN49" s="184">
        <v>3394420</v>
      </c>
      <c r="AO49" s="184">
        <v>947280</v>
      </c>
      <c r="AP49" s="184">
        <v>19695530</v>
      </c>
      <c r="AQ49" s="184">
        <v>39470</v>
      </c>
      <c r="AR49" s="184">
        <v>19892880</v>
      </c>
      <c r="AS49" s="184">
        <v>28892040</v>
      </c>
      <c r="AT49" s="184">
        <v>0</v>
      </c>
      <c r="AU49" s="184">
        <v>631520</v>
      </c>
      <c r="AV49" s="184">
        <v>0</v>
      </c>
      <c r="AW49" s="184">
        <v>513110</v>
      </c>
      <c r="AX49" s="184">
        <v>49100680</v>
      </c>
      <c r="AY49" s="184">
        <v>394700</v>
      </c>
      <c r="AZ49" s="184">
        <v>19261360</v>
      </c>
      <c r="BA49" s="184">
        <v>7065130</v>
      </c>
      <c r="BB49" s="184">
        <v>1539330</v>
      </c>
      <c r="BC49" s="177" t="s">
        <v>200</v>
      </c>
      <c r="BD49" s="184">
        <v>4183820</v>
      </c>
      <c r="BE49" s="184">
        <v>3473360</v>
      </c>
      <c r="BF49" s="184">
        <v>1381450</v>
      </c>
      <c r="BG49" s="184">
        <v>27786880</v>
      </c>
      <c r="BH49" s="184">
        <v>1026220</v>
      </c>
      <c r="BI49" s="184">
        <v>2052440</v>
      </c>
      <c r="BJ49" s="187" t="s">
        <v>200</v>
      </c>
    </row>
    <row r="50" spans="2:62" x14ac:dyDescent="0.2">
      <c r="B50" s="175">
        <v>45950</v>
      </c>
      <c r="C50" s="176">
        <v>45950.458859351849</v>
      </c>
      <c r="D50" s="177" t="s">
        <v>267</v>
      </c>
      <c r="E50" s="178" t="s">
        <v>268</v>
      </c>
      <c r="F50" s="179" t="s">
        <v>269</v>
      </c>
      <c r="G50" s="180">
        <v>78.75</v>
      </c>
      <c r="H50" s="181">
        <v>77.12</v>
      </c>
      <c r="I50" s="181">
        <v>85</v>
      </c>
      <c r="J50" s="181">
        <v>78.87</v>
      </c>
      <c r="K50" s="182">
        <v>78.66</v>
      </c>
      <c r="L50" s="183">
        <v>3268000</v>
      </c>
      <c r="M50" s="184">
        <v>5240000</v>
      </c>
      <c r="N50" s="184">
        <v>89</v>
      </c>
      <c r="O50" s="184">
        <v>32</v>
      </c>
      <c r="P50" s="181">
        <v>4.05</v>
      </c>
      <c r="Q50" s="184">
        <v>58876</v>
      </c>
      <c r="R50" s="184">
        <v>238182</v>
      </c>
      <c r="S50" s="184">
        <v>267824</v>
      </c>
      <c r="T50" s="184">
        <v>204250</v>
      </c>
      <c r="U50" s="184">
        <v>264196</v>
      </c>
      <c r="V50" s="182">
        <v>1.6</v>
      </c>
      <c r="W50" s="183">
        <v>22</v>
      </c>
      <c r="X50" s="185">
        <v>16</v>
      </c>
      <c r="Y50" s="183">
        <v>257355000</v>
      </c>
      <c r="Z50" s="179" t="s">
        <v>270</v>
      </c>
      <c r="AA50" s="183">
        <v>2283750</v>
      </c>
      <c r="AB50" s="184">
        <v>3976875</v>
      </c>
      <c r="AC50" s="184">
        <v>6457500</v>
      </c>
      <c r="AD50" s="184">
        <v>826875</v>
      </c>
      <c r="AE50" s="184">
        <v>4252500</v>
      </c>
      <c r="AF50" s="177" t="s">
        <v>200</v>
      </c>
      <c r="AG50" s="184">
        <v>2244375</v>
      </c>
      <c r="AH50" s="184">
        <v>1968750</v>
      </c>
      <c r="AI50" s="184">
        <v>8741250</v>
      </c>
      <c r="AJ50" s="184">
        <v>19923750</v>
      </c>
      <c r="AK50" s="184">
        <v>3150000</v>
      </c>
      <c r="AL50" s="184">
        <v>11812500</v>
      </c>
      <c r="AM50" s="184">
        <v>905625</v>
      </c>
      <c r="AN50" s="184">
        <v>3386250</v>
      </c>
      <c r="AO50" s="184">
        <v>945000</v>
      </c>
      <c r="AP50" s="184">
        <v>19648125</v>
      </c>
      <c r="AQ50" s="184">
        <v>39375</v>
      </c>
      <c r="AR50" s="184">
        <v>19845000</v>
      </c>
      <c r="AS50" s="184">
        <v>28822500</v>
      </c>
      <c r="AT50" s="184">
        <v>0</v>
      </c>
      <c r="AU50" s="184">
        <v>630000</v>
      </c>
      <c r="AV50" s="184">
        <v>0</v>
      </c>
      <c r="AW50" s="184">
        <v>511875</v>
      </c>
      <c r="AX50" s="184">
        <v>48982500</v>
      </c>
      <c r="AY50" s="184">
        <v>393750</v>
      </c>
      <c r="AZ50" s="184">
        <v>19215000</v>
      </c>
      <c r="BA50" s="184">
        <v>7048125</v>
      </c>
      <c r="BB50" s="184">
        <v>1535625</v>
      </c>
      <c r="BC50" s="177" t="s">
        <v>200</v>
      </c>
      <c r="BD50" s="184">
        <v>4173750</v>
      </c>
      <c r="BE50" s="184">
        <v>3465000</v>
      </c>
      <c r="BF50" s="184">
        <v>1378125</v>
      </c>
      <c r="BG50" s="184">
        <v>27720000</v>
      </c>
      <c r="BH50" s="184">
        <v>1023750</v>
      </c>
      <c r="BI50" s="184">
        <v>2047500</v>
      </c>
      <c r="BJ50" s="187" t="s">
        <v>200</v>
      </c>
    </row>
    <row r="51" spans="2:62" x14ac:dyDescent="0.2">
      <c r="B51" s="175">
        <v>45947</v>
      </c>
      <c r="C51" s="176">
        <v>45947.458773171296</v>
      </c>
      <c r="D51" s="177" t="s">
        <v>271</v>
      </c>
      <c r="E51" s="178" t="s">
        <v>268</v>
      </c>
      <c r="F51" s="179" t="s">
        <v>269</v>
      </c>
      <c r="G51" s="180">
        <v>77.989999999999995</v>
      </c>
      <c r="H51" s="181">
        <v>62</v>
      </c>
      <c r="I51" s="181">
        <v>85</v>
      </c>
      <c r="J51" s="181">
        <v>77.64</v>
      </c>
      <c r="K51" s="182">
        <v>77.89</v>
      </c>
      <c r="L51" s="183">
        <v>1691000</v>
      </c>
      <c r="M51" s="184">
        <v>3345000</v>
      </c>
      <c r="N51" s="184">
        <v>72</v>
      </c>
      <c r="O51" s="184">
        <v>24</v>
      </c>
      <c r="P51" s="181">
        <v>3.43</v>
      </c>
      <c r="Q51" s="184">
        <v>46458</v>
      </c>
      <c r="R51" s="184">
        <v>159286</v>
      </c>
      <c r="S51" s="184">
        <v>182779</v>
      </c>
      <c r="T51" s="184">
        <v>120786</v>
      </c>
      <c r="U51" s="184">
        <v>185614</v>
      </c>
      <c r="V51" s="182">
        <v>1.98</v>
      </c>
      <c r="W51" s="183">
        <v>21</v>
      </c>
      <c r="X51" s="185">
        <v>14</v>
      </c>
      <c r="Y51" s="183">
        <v>131881090</v>
      </c>
      <c r="Z51" s="179" t="s">
        <v>272</v>
      </c>
      <c r="AA51" s="186" t="s">
        <v>200</v>
      </c>
      <c r="AB51" s="177" t="s">
        <v>200</v>
      </c>
      <c r="AC51" s="177" t="s">
        <v>200</v>
      </c>
      <c r="AD51" s="177" t="s">
        <v>200</v>
      </c>
      <c r="AE51" s="177" t="s">
        <v>200</v>
      </c>
      <c r="AF51" s="184">
        <v>131881090</v>
      </c>
      <c r="AG51" s="177" t="s">
        <v>200</v>
      </c>
      <c r="AH51" s="177" t="s">
        <v>200</v>
      </c>
      <c r="AI51" s="177" t="s">
        <v>200</v>
      </c>
      <c r="AJ51" s="177" t="s">
        <v>200</v>
      </c>
      <c r="AK51" s="177" t="s">
        <v>200</v>
      </c>
      <c r="AL51" s="177" t="s">
        <v>200</v>
      </c>
      <c r="AM51" s="177" t="s">
        <v>200</v>
      </c>
      <c r="AN51" s="177" t="s">
        <v>200</v>
      </c>
      <c r="AO51" s="177" t="s">
        <v>200</v>
      </c>
      <c r="AP51" s="177" t="s">
        <v>200</v>
      </c>
      <c r="AQ51" s="177" t="s">
        <v>200</v>
      </c>
      <c r="AR51" s="177" t="s">
        <v>200</v>
      </c>
      <c r="AS51" s="177" t="s">
        <v>200</v>
      </c>
      <c r="AT51" s="177" t="s">
        <v>200</v>
      </c>
      <c r="AU51" s="177" t="s">
        <v>200</v>
      </c>
      <c r="AV51" s="177" t="s">
        <v>200</v>
      </c>
      <c r="AW51" s="177" t="s">
        <v>200</v>
      </c>
      <c r="AX51" s="177" t="s">
        <v>200</v>
      </c>
      <c r="AY51" s="177" t="s">
        <v>200</v>
      </c>
      <c r="AZ51" s="177" t="s">
        <v>200</v>
      </c>
      <c r="BA51" s="177" t="s">
        <v>200</v>
      </c>
      <c r="BB51" s="177" t="s">
        <v>200</v>
      </c>
      <c r="BC51" s="177" t="s">
        <v>200</v>
      </c>
      <c r="BD51" s="177" t="s">
        <v>200</v>
      </c>
      <c r="BE51" s="177" t="s">
        <v>200</v>
      </c>
      <c r="BF51" s="177" t="s">
        <v>200</v>
      </c>
      <c r="BG51" s="177" t="s">
        <v>200</v>
      </c>
      <c r="BH51" s="177" t="s">
        <v>200</v>
      </c>
      <c r="BI51" s="177" t="s">
        <v>200</v>
      </c>
      <c r="BJ51" s="187" t="s">
        <v>200</v>
      </c>
    </row>
    <row r="52" spans="2:62" x14ac:dyDescent="0.2">
      <c r="B52" s="175">
        <v>45946</v>
      </c>
      <c r="C52" s="176">
        <v>45946.458653136571</v>
      </c>
      <c r="D52" s="177" t="s">
        <v>267</v>
      </c>
      <c r="E52" s="178" t="s">
        <v>268</v>
      </c>
      <c r="F52" s="179" t="s">
        <v>269</v>
      </c>
      <c r="G52" s="180">
        <v>77.819999999999993</v>
      </c>
      <c r="H52" s="181">
        <v>60</v>
      </c>
      <c r="I52" s="181">
        <v>80</v>
      </c>
      <c r="J52" s="181">
        <v>77.36</v>
      </c>
      <c r="K52" s="182">
        <v>77.56</v>
      </c>
      <c r="L52" s="183">
        <v>3268000</v>
      </c>
      <c r="M52" s="184">
        <v>5237000</v>
      </c>
      <c r="N52" s="184">
        <v>95</v>
      </c>
      <c r="O52" s="184">
        <v>25</v>
      </c>
      <c r="P52" s="181">
        <v>4.32</v>
      </c>
      <c r="Q52" s="184">
        <v>55126</v>
      </c>
      <c r="R52" s="184">
        <v>238045</v>
      </c>
      <c r="S52" s="184">
        <v>277838</v>
      </c>
      <c r="T52" s="184">
        <v>204250</v>
      </c>
      <c r="U52" s="184">
        <v>230665</v>
      </c>
      <c r="V52" s="182">
        <v>1.6</v>
      </c>
      <c r="W52" s="183">
        <v>22</v>
      </c>
      <c r="X52" s="185">
        <v>16</v>
      </c>
      <c r="Y52" s="183">
        <v>254315760</v>
      </c>
      <c r="Z52" s="179" t="s">
        <v>270</v>
      </c>
      <c r="AA52" s="183">
        <v>2256780</v>
      </c>
      <c r="AB52" s="184">
        <v>3929910</v>
      </c>
      <c r="AC52" s="184">
        <v>6381240</v>
      </c>
      <c r="AD52" s="184">
        <v>817110</v>
      </c>
      <c r="AE52" s="184">
        <v>4202280</v>
      </c>
      <c r="AF52" s="177" t="s">
        <v>200</v>
      </c>
      <c r="AG52" s="184">
        <v>2217870</v>
      </c>
      <c r="AH52" s="184">
        <v>1945500</v>
      </c>
      <c r="AI52" s="184">
        <v>8638020</v>
      </c>
      <c r="AJ52" s="184">
        <v>19688460</v>
      </c>
      <c r="AK52" s="184">
        <v>3112800</v>
      </c>
      <c r="AL52" s="184">
        <v>11673000</v>
      </c>
      <c r="AM52" s="184">
        <v>894930</v>
      </c>
      <c r="AN52" s="184">
        <v>3346260</v>
      </c>
      <c r="AO52" s="184">
        <v>933840</v>
      </c>
      <c r="AP52" s="184">
        <v>19416090</v>
      </c>
      <c r="AQ52" s="184">
        <v>38910</v>
      </c>
      <c r="AR52" s="184">
        <v>19610640</v>
      </c>
      <c r="AS52" s="184">
        <v>28482120</v>
      </c>
      <c r="AT52" s="184">
        <v>0</v>
      </c>
      <c r="AU52" s="184">
        <v>622560</v>
      </c>
      <c r="AV52" s="184">
        <v>0</v>
      </c>
      <c r="AW52" s="184">
        <v>505830</v>
      </c>
      <c r="AX52" s="184">
        <v>48404040</v>
      </c>
      <c r="AY52" s="184">
        <v>389100</v>
      </c>
      <c r="AZ52" s="184">
        <v>18988080</v>
      </c>
      <c r="BA52" s="184">
        <v>6964890</v>
      </c>
      <c r="BB52" s="184">
        <v>1517490</v>
      </c>
      <c r="BC52" s="177" t="s">
        <v>200</v>
      </c>
      <c r="BD52" s="184">
        <v>4124460</v>
      </c>
      <c r="BE52" s="184">
        <v>3424080</v>
      </c>
      <c r="BF52" s="184">
        <v>1361850</v>
      </c>
      <c r="BG52" s="184">
        <v>27392640</v>
      </c>
      <c r="BH52" s="184">
        <v>1011660</v>
      </c>
      <c r="BI52" s="184">
        <v>2023320</v>
      </c>
      <c r="BJ52" s="187" t="s">
        <v>200</v>
      </c>
    </row>
    <row r="53" spans="2:62" x14ac:dyDescent="0.2">
      <c r="B53" s="175">
        <v>45945</v>
      </c>
      <c r="C53" s="176">
        <v>45945.458846979163</v>
      </c>
      <c r="D53" s="177" t="s">
        <v>273</v>
      </c>
      <c r="E53" s="178" t="s">
        <v>268</v>
      </c>
      <c r="F53" s="179" t="s">
        <v>269</v>
      </c>
      <c r="G53" s="180">
        <v>76.58</v>
      </c>
      <c r="H53" s="181">
        <v>62</v>
      </c>
      <c r="I53" s="181">
        <v>80</v>
      </c>
      <c r="J53" s="181">
        <v>76.430000000000007</v>
      </c>
      <c r="K53" s="182">
        <v>76.45</v>
      </c>
      <c r="L53" s="183">
        <v>2162500</v>
      </c>
      <c r="M53" s="184">
        <v>4012500</v>
      </c>
      <c r="N53" s="184">
        <v>103</v>
      </c>
      <c r="O53" s="184">
        <v>35</v>
      </c>
      <c r="P53" s="181">
        <v>3.55</v>
      </c>
      <c r="Q53" s="184">
        <v>38956</v>
      </c>
      <c r="R53" s="184">
        <v>138362</v>
      </c>
      <c r="S53" s="184">
        <v>166254</v>
      </c>
      <c r="T53" s="184">
        <v>108125</v>
      </c>
      <c r="U53" s="184">
        <v>149146</v>
      </c>
      <c r="V53" s="182">
        <v>1.86</v>
      </c>
      <c r="W53" s="183">
        <v>29</v>
      </c>
      <c r="X53" s="185">
        <v>20</v>
      </c>
      <c r="Y53" s="183">
        <v>165604250</v>
      </c>
      <c r="Z53" s="179" t="s">
        <v>274</v>
      </c>
      <c r="AA53" s="186" t="s">
        <v>200</v>
      </c>
      <c r="AB53" s="177" t="s">
        <v>200</v>
      </c>
      <c r="AC53" s="177" t="s">
        <v>200</v>
      </c>
      <c r="AD53" s="177" t="s">
        <v>200</v>
      </c>
      <c r="AE53" s="177" t="s">
        <v>200</v>
      </c>
      <c r="AF53" s="177" t="s">
        <v>200</v>
      </c>
      <c r="AG53" s="177" t="s">
        <v>200</v>
      </c>
      <c r="AH53" s="177" t="s">
        <v>200</v>
      </c>
      <c r="AI53" s="177" t="s">
        <v>200</v>
      </c>
      <c r="AJ53" s="177" t="s">
        <v>200</v>
      </c>
      <c r="AK53" s="177" t="s">
        <v>200</v>
      </c>
      <c r="AL53" s="177" t="s">
        <v>200</v>
      </c>
      <c r="AM53" s="177" t="s">
        <v>200</v>
      </c>
      <c r="AN53" s="177" t="s">
        <v>200</v>
      </c>
      <c r="AO53" s="177" t="s">
        <v>200</v>
      </c>
      <c r="AP53" s="177" t="s">
        <v>200</v>
      </c>
      <c r="AQ53" s="177" t="s">
        <v>200</v>
      </c>
      <c r="AR53" s="177" t="s">
        <v>200</v>
      </c>
      <c r="AS53" s="177" t="s">
        <v>200</v>
      </c>
      <c r="AT53" s="177" t="s">
        <v>200</v>
      </c>
      <c r="AU53" s="177" t="s">
        <v>200</v>
      </c>
      <c r="AV53" s="177" t="s">
        <v>200</v>
      </c>
      <c r="AW53" s="177" t="s">
        <v>200</v>
      </c>
      <c r="AX53" s="177" t="s">
        <v>200</v>
      </c>
      <c r="AY53" s="177" t="s">
        <v>200</v>
      </c>
      <c r="AZ53" s="177" t="s">
        <v>200</v>
      </c>
      <c r="BA53" s="177" t="s">
        <v>200</v>
      </c>
      <c r="BB53" s="177" t="s">
        <v>200</v>
      </c>
      <c r="BC53" s="184">
        <v>165604250</v>
      </c>
      <c r="BD53" s="177" t="s">
        <v>200</v>
      </c>
      <c r="BE53" s="177" t="s">
        <v>200</v>
      </c>
      <c r="BF53" s="177" t="s">
        <v>200</v>
      </c>
      <c r="BG53" s="177" t="s">
        <v>200</v>
      </c>
      <c r="BH53" s="177" t="s">
        <v>200</v>
      </c>
      <c r="BI53" s="177" t="s">
        <v>200</v>
      </c>
      <c r="BJ53" s="187" t="s">
        <v>200</v>
      </c>
    </row>
    <row r="54" spans="2:62" x14ac:dyDescent="0.2">
      <c r="B54" s="175">
        <v>45944</v>
      </c>
      <c r="C54" s="176">
        <v>45944.458586724541</v>
      </c>
      <c r="D54" s="177" t="s">
        <v>267</v>
      </c>
      <c r="E54" s="178" t="s">
        <v>268</v>
      </c>
      <c r="F54" s="179" t="s">
        <v>269</v>
      </c>
      <c r="G54" s="180">
        <v>76.91</v>
      </c>
      <c r="H54" s="181">
        <v>62</v>
      </c>
      <c r="I54" s="181">
        <v>80</v>
      </c>
      <c r="J54" s="181">
        <v>76.61</v>
      </c>
      <c r="K54" s="182">
        <v>76.81</v>
      </c>
      <c r="L54" s="183">
        <v>3268000</v>
      </c>
      <c r="M54" s="184">
        <v>5096000</v>
      </c>
      <c r="N54" s="184">
        <v>89</v>
      </c>
      <c r="O54" s="184">
        <v>33</v>
      </c>
      <c r="P54" s="181">
        <v>3.87</v>
      </c>
      <c r="Q54" s="184">
        <v>57258</v>
      </c>
      <c r="R54" s="184">
        <v>221565</v>
      </c>
      <c r="S54" s="184">
        <v>240167</v>
      </c>
      <c r="T54" s="184">
        <v>163400</v>
      </c>
      <c r="U54" s="184">
        <v>197008</v>
      </c>
      <c r="V54" s="182">
        <v>1.56</v>
      </c>
      <c r="W54" s="183">
        <v>23</v>
      </c>
      <c r="X54" s="185">
        <v>20</v>
      </c>
      <c r="Y54" s="183">
        <v>251341880</v>
      </c>
      <c r="Z54" s="179" t="s">
        <v>270</v>
      </c>
      <c r="AA54" s="183">
        <v>2230390</v>
      </c>
      <c r="AB54" s="184">
        <v>3883955</v>
      </c>
      <c r="AC54" s="184">
        <v>6306620</v>
      </c>
      <c r="AD54" s="184">
        <v>807555</v>
      </c>
      <c r="AE54" s="184">
        <v>4153140</v>
      </c>
      <c r="AF54" s="177" t="s">
        <v>200</v>
      </c>
      <c r="AG54" s="184">
        <v>2191935</v>
      </c>
      <c r="AH54" s="184">
        <v>1922750</v>
      </c>
      <c r="AI54" s="184">
        <v>8537010</v>
      </c>
      <c r="AJ54" s="184">
        <v>19458230</v>
      </c>
      <c r="AK54" s="184">
        <v>3076400</v>
      </c>
      <c r="AL54" s="184">
        <v>11536500</v>
      </c>
      <c r="AM54" s="184">
        <v>884465</v>
      </c>
      <c r="AN54" s="184">
        <v>3307130</v>
      </c>
      <c r="AO54" s="184">
        <v>922920</v>
      </c>
      <c r="AP54" s="184">
        <v>19189045</v>
      </c>
      <c r="AQ54" s="184">
        <v>38455</v>
      </c>
      <c r="AR54" s="184">
        <v>19381320</v>
      </c>
      <c r="AS54" s="184">
        <v>28149060</v>
      </c>
      <c r="AT54" s="184">
        <v>0</v>
      </c>
      <c r="AU54" s="184">
        <v>615280</v>
      </c>
      <c r="AV54" s="184">
        <v>0</v>
      </c>
      <c r="AW54" s="184">
        <v>499915</v>
      </c>
      <c r="AX54" s="184">
        <v>47838020</v>
      </c>
      <c r="AY54" s="184">
        <v>384550</v>
      </c>
      <c r="AZ54" s="184">
        <v>18766040</v>
      </c>
      <c r="BA54" s="184">
        <v>6883445</v>
      </c>
      <c r="BB54" s="184">
        <v>1499745</v>
      </c>
      <c r="BC54" s="177" t="s">
        <v>200</v>
      </c>
      <c r="BD54" s="184">
        <v>4076230</v>
      </c>
      <c r="BE54" s="184">
        <v>3384040</v>
      </c>
      <c r="BF54" s="184">
        <v>1345925</v>
      </c>
      <c r="BG54" s="184">
        <v>27072320</v>
      </c>
      <c r="BH54" s="184">
        <v>999830</v>
      </c>
      <c r="BI54" s="184">
        <v>1999660</v>
      </c>
      <c r="BJ54" s="187" t="s">
        <v>200</v>
      </c>
    </row>
    <row r="55" spans="2:62" x14ac:dyDescent="0.2">
      <c r="B55" s="175">
        <v>45943</v>
      </c>
      <c r="C55" s="176">
        <v>45943.458627685184</v>
      </c>
      <c r="D55" s="177" t="s">
        <v>267</v>
      </c>
      <c r="E55" s="178" t="s">
        <v>268</v>
      </c>
      <c r="F55" s="179" t="s">
        <v>269</v>
      </c>
      <c r="G55" s="180">
        <v>78.66</v>
      </c>
      <c r="H55" s="181">
        <v>62</v>
      </c>
      <c r="I55" s="181">
        <v>80.88</v>
      </c>
      <c r="J55" s="181">
        <v>78.17</v>
      </c>
      <c r="K55" s="182">
        <v>78.5</v>
      </c>
      <c r="L55" s="183">
        <v>3268000</v>
      </c>
      <c r="M55" s="184">
        <v>4783000</v>
      </c>
      <c r="N55" s="184">
        <v>77</v>
      </c>
      <c r="O55" s="184">
        <v>27</v>
      </c>
      <c r="P55" s="181">
        <v>3.67</v>
      </c>
      <c r="Q55" s="184">
        <v>62117</v>
      </c>
      <c r="R55" s="184">
        <v>227762</v>
      </c>
      <c r="S55" s="184">
        <v>367388</v>
      </c>
      <c r="T55" s="184">
        <v>217867</v>
      </c>
      <c r="U55" s="184">
        <v>383099</v>
      </c>
      <c r="V55" s="182">
        <v>1.46</v>
      </c>
      <c r="W55" s="183">
        <v>21</v>
      </c>
      <c r="X55" s="185">
        <v>15</v>
      </c>
      <c r="Y55" s="183">
        <v>257060880</v>
      </c>
      <c r="Z55" s="179" t="s">
        <v>270</v>
      </c>
      <c r="AA55" s="183">
        <v>2281140</v>
      </c>
      <c r="AB55" s="184">
        <v>3972330</v>
      </c>
      <c r="AC55" s="184">
        <v>6450120</v>
      </c>
      <c r="AD55" s="184">
        <v>825930</v>
      </c>
      <c r="AE55" s="184">
        <v>4247640</v>
      </c>
      <c r="AF55" s="177" t="s">
        <v>200</v>
      </c>
      <c r="AG55" s="184">
        <v>2241810</v>
      </c>
      <c r="AH55" s="184">
        <v>1966500</v>
      </c>
      <c r="AI55" s="184">
        <v>8731260</v>
      </c>
      <c r="AJ55" s="184">
        <v>19900980</v>
      </c>
      <c r="AK55" s="184">
        <v>3146400</v>
      </c>
      <c r="AL55" s="184">
        <v>11799000</v>
      </c>
      <c r="AM55" s="184">
        <v>904590</v>
      </c>
      <c r="AN55" s="184">
        <v>3382380</v>
      </c>
      <c r="AO55" s="184">
        <v>943920</v>
      </c>
      <c r="AP55" s="184">
        <v>19625670</v>
      </c>
      <c r="AQ55" s="184">
        <v>39330</v>
      </c>
      <c r="AR55" s="184">
        <v>19822320</v>
      </c>
      <c r="AS55" s="184">
        <v>28789560</v>
      </c>
      <c r="AT55" s="184">
        <v>0</v>
      </c>
      <c r="AU55" s="184">
        <v>629280</v>
      </c>
      <c r="AV55" s="184">
        <v>0</v>
      </c>
      <c r="AW55" s="184">
        <v>511290</v>
      </c>
      <c r="AX55" s="184">
        <v>48926520</v>
      </c>
      <c r="AY55" s="184">
        <v>393300</v>
      </c>
      <c r="AZ55" s="184">
        <v>19193040</v>
      </c>
      <c r="BA55" s="184">
        <v>7040070</v>
      </c>
      <c r="BB55" s="184">
        <v>1533870</v>
      </c>
      <c r="BC55" s="177" t="s">
        <v>200</v>
      </c>
      <c r="BD55" s="184">
        <v>4168980</v>
      </c>
      <c r="BE55" s="184">
        <v>3461040</v>
      </c>
      <c r="BF55" s="184">
        <v>1376550</v>
      </c>
      <c r="BG55" s="184">
        <v>27688320</v>
      </c>
      <c r="BH55" s="184">
        <v>1022580</v>
      </c>
      <c r="BI55" s="184">
        <v>2045160</v>
      </c>
      <c r="BJ55" s="187" t="s">
        <v>200</v>
      </c>
    </row>
    <row r="56" spans="2:62" x14ac:dyDescent="0.2">
      <c r="B56" s="175">
        <v>45940</v>
      </c>
      <c r="C56" s="176">
        <v>45940.458768657409</v>
      </c>
      <c r="D56" s="177" t="s">
        <v>271</v>
      </c>
      <c r="E56" s="178" t="s">
        <v>268</v>
      </c>
      <c r="F56" s="179" t="s">
        <v>269</v>
      </c>
      <c r="G56" s="180">
        <v>79.22</v>
      </c>
      <c r="H56" s="181">
        <v>62</v>
      </c>
      <c r="I56" s="181">
        <v>90</v>
      </c>
      <c r="J56" s="181">
        <v>78.819999999999993</v>
      </c>
      <c r="K56" s="182">
        <v>79.12</v>
      </c>
      <c r="L56" s="183">
        <v>1691000</v>
      </c>
      <c r="M56" s="184">
        <v>3102000</v>
      </c>
      <c r="N56" s="184">
        <v>61</v>
      </c>
      <c r="O56" s="184">
        <v>24</v>
      </c>
      <c r="P56" s="181">
        <v>2.77</v>
      </c>
      <c r="Q56" s="184">
        <v>50852</v>
      </c>
      <c r="R56" s="184">
        <v>141000</v>
      </c>
      <c r="S56" s="184">
        <v>198540</v>
      </c>
      <c r="T56" s="184">
        <v>130077</v>
      </c>
      <c r="U56" s="184">
        <v>216066</v>
      </c>
      <c r="V56" s="182">
        <v>1.83</v>
      </c>
      <c r="W56" s="183">
        <v>22</v>
      </c>
      <c r="X56" s="185">
        <v>13</v>
      </c>
      <c r="Y56" s="183">
        <v>133961020</v>
      </c>
      <c r="Z56" s="179" t="s">
        <v>272</v>
      </c>
      <c r="AA56" s="186" t="s">
        <v>200</v>
      </c>
      <c r="AB56" s="177" t="s">
        <v>200</v>
      </c>
      <c r="AC56" s="177" t="s">
        <v>200</v>
      </c>
      <c r="AD56" s="177" t="s">
        <v>200</v>
      </c>
      <c r="AE56" s="177" t="s">
        <v>200</v>
      </c>
      <c r="AF56" s="184">
        <v>133961020</v>
      </c>
      <c r="AG56" s="177" t="s">
        <v>200</v>
      </c>
      <c r="AH56" s="177" t="s">
        <v>200</v>
      </c>
      <c r="AI56" s="177" t="s">
        <v>200</v>
      </c>
      <c r="AJ56" s="177" t="s">
        <v>200</v>
      </c>
      <c r="AK56" s="177" t="s">
        <v>200</v>
      </c>
      <c r="AL56" s="177" t="s">
        <v>200</v>
      </c>
      <c r="AM56" s="177" t="s">
        <v>200</v>
      </c>
      <c r="AN56" s="177" t="s">
        <v>200</v>
      </c>
      <c r="AO56" s="177" t="s">
        <v>200</v>
      </c>
      <c r="AP56" s="177" t="s">
        <v>200</v>
      </c>
      <c r="AQ56" s="177" t="s">
        <v>200</v>
      </c>
      <c r="AR56" s="177" t="s">
        <v>200</v>
      </c>
      <c r="AS56" s="177" t="s">
        <v>200</v>
      </c>
      <c r="AT56" s="177" t="s">
        <v>200</v>
      </c>
      <c r="AU56" s="177" t="s">
        <v>200</v>
      </c>
      <c r="AV56" s="177" t="s">
        <v>200</v>
      </c>
      <c r="AW56" s="177" t="s">
        <v>200</v>
      </c>
      <c r="AX56" s="177" t="s">
        <v>200</v>
      </c>
      <c r="AY56" s="177" t="s">
        <v>200</v>
      </c>
      <c r="AZ56" s="177" t="s">
        <v>200</v>
      </c>
      <c r="BA56" s="177" t="s">
        <v>200</v>
      </c>
      <c r="BB56" s="177" t="s">
        <v>200</v>
      </c>
      <c r="BC56" s="177" t="s">
        <v>200</v>
      </c>
      <c r="BD56" s="177" t="s">
        <v>200</v>
      </c>
      <c r="BE56" s="177" t="s">
        <v>200</v>
      </c>
      <c r="BF56" s="177" t="s">
        <v>200</v>
      </c>
      <c r="BG56" s="177" t="s">
        <v>200</v>
      </c>
      <c r="BH56" s="177" t="s">
        <v>200</v>
      </c>
      <c r="BI56" s="177" t="s">
        <v>200</v>
      </c>
      <c r="BJ56" s="187" t="s">
        <v>200</v>
      </c>
    </row>
    <row r="57" spans="2:62" x14ac:dyDescent="0.2">
      <c r="B57" s="175">
        <v>45939</v>
      </c>
      <c r="C57" s="176">
        <v>45939.45878724537</v>
      </c>
      <c r="D57" s="177" t="s">
        <v>267</v>
      </c>
      <c r="E57" s="178" t="s">
        <v>268</v>
      </c>
      <c r="F57" s="179" t="s">
        <v>269</v>
      </c>
      <c r="G57" s="180">
        <v>77.95</v>
      </c>
      <c r="H57" s="181">
        <v>62</v>
      </c>
      <c r="I57" s="181">
        <v>120</v>
      </c>
      <c r="J57" s="181">
        <v>78.52</v>
      </c>
      <c r="K57" s="182">
        <v>77.78</v>
      </c>
      <c r="L57" s="183">
        <v>3268000</v>
      </c>
      <c r="M57" s="184">
        <v>5237500</v>
      </c>
      <c r="N57" s="184">
        <v>83</v>
      </c>
      <c r="O57" s="184">
        <v>27</v>
      </c>
      <c r="P57" s="181">
        <v>3.95</v>
      </c>
      <c r="Q57" s="184">
        <v>63102</v>
      </c>
      <c r="R57" s="184">
        <v>249405</v>
      </c>
      <c r="S57" s="184">
        <v>272818</v>
      </c>
      <c r="T57" s="184">
        <v>192235</v>
      </c>
      <c r="U57" s="184">
        <v>250142</v>
      </c>
      <c r="V57" s="182">
        <v>1.6</v>
      </c>
      <c r="W57" s="183">
        <v>21</v>
      </c>
      <c r="X57" s="185">
        <v>17</v>
      </c>
      <c r="Y57" s="183">
        <v>254740600</v>
      </c>
      <c r="Z57" s="179" t="s">
        <v>270</v>
      </c>
      <c r="AA57" s="183">
        <v>2260550</v>
      </c>
      <c r="AB57" s="184">
        <v>3936475</v>
      </c>
      <c r="AC57" s="184">
        <v>6391900</v>
      </c>
      <c r="AD57" s="184">
        <v>818475</v>
      </c>
      <c r="AE57" s="184">
        <v>4209300</v>
      </c>
      <c r="AF57" s="177" t="s">
        <v>200</v>
      </c>
      <c r="AG57" s="184">
        <v>2221575</v>
      </c>
      <c r="AH57" s="184">
        <v>1948750</v>
      </c>
      <c r="AI57" s="184">
        <v>8652450</v>
      </c>
      <c r="AJ57" s="184">
        <v>19721350</v>
      </c>
      <c r="AK57" s="184">
        <v>3118000</v>
      </c>
      <c r="AL57" s="184">
        <v>11692500</v>
      </c>
      <c r="AM57" s="184">
        <v>896425</v>
      </c>
      <c r="AN57" s="184">
        <v>3351850</v>
      </c>
      <c r="AO57" s="184">
        <v>935400</v>
      </c>
      <c r="AP57" s="184">
        <v>19448525</v>
      </c>
      <c r="AQ57" s="184">
        <v>38975</v>
      </c>
      <c r="AR57" s="184">
        <v>19643400</v>
      </c>
      <c r="AS57" s="184">
        <v>28529700</v>
      </c>
      <c r="AT57" s="184">
        <v>0</v>
      </c>
      <c r="AU57" s="184">
        <v>623600</v>
      </c>
      <c r="AV57" s="184">
        <v>0</v>
      </c>
      <c r="AW57" s="184">
        <v>506675</v>
      </c>
      <c r="AX57" s="184">
        <v>48484900</v>
      </c>
      <c r="AY57" s="184">
        <v>389750</v>
      </c>
      <c r="AZ57" s="184">
        <v>19019800</v>
      </c>
      <c r="BA57" s="184">
        <v>6976525</v>
      </c>
      <c r="BB57" s="184">
        <v>1520025</v>
      </c>
      <c r="BC57" s="177" t="s">
        <v>200</v>
      </c>
      <c r="BD57" s="184">
        <v>4131350</v>
      </c>
      <c r="BE57" s="184">
        <v>3429800</v>
      </c>
      <c r="BF57" s="184">
        <v>1364125</v>
      </c>
      <c r="BG57" s="184">
        <v>27438400</v>
      </c>
      <c r="BH57" s="184">
        <v>1013350</v>
      </c>
      <c r="BI57" s="184">
        <v>2026700</v>
      </c>
      <c r="BJ57" s="187" t="s">
        <v>200</v>
      </c>
    </row>
    <row r="58" spans="2:62" x14ac:dyDescent="0.2">
      <c r="B58" s="175">
        <v>45938</v>
      </c>
      <c r="C58" s="176">
        <v>45938.458799236112</v>
      </c>
      <c r="D58" s="177" t="s">
        <v>275</v>
      </c>
      <c r="E58" s="178" t="s">
        <v>268</v>
      </c>
      <c r="F58" s="179" t="s">
        <v>269</v>
      </c>
      <c r="G58" s="180">
        <v>77.39</v>
      </c>
      <c r="H58" s="181">
        <v>60</v>
      </c>
      <c r="I58" s="181">
        <v>79.3</v>
      </c>
      <c r="J58" s="181">
        <v>76.989999999999995</v>
      </c>
      <c r="K58" s="182">
        <v>77.5</v>
      </c>
      <c r="L58" s="183">
        <v>796500</v>
      </c>
      <c r="M58" s="184">
        <v>1312000</v>
      </c>
      <c r="N58" s="184">
        <v>49</v>
      </c>
      <c r="O58" s="184">
        <v>29</v>
      </c>
      <c r="P58" s="181">
        <v>3.77</v>
      </c>
      <c r="Q58" s="184">
        <v>26776</v>
      </c>
      <c r="R58" s="184">
        <v>100923</v>
      </c>
      <c r="S58" s="184">
        <v>70230</v>
      </c>
      <c r="T58" s="184">
        <v>66375</v>
      </c>
      <c r="U58" s="184">
        <v>42778</v>
      </c>
      <c r="V58" s="182">
        <v>1.65</v>
      </c>
      <c r="W58" s="183">
        <v>13</v>
      </c>
      <c r="X58" s="185">
        <v>12</v>
      </c>
      <c r="Y58" s="183">
        <v>61641135</v>
      </c>
      <c r="Z58" s="179" t="s">
        <v>276</v>
      </c>
      <c r="AA58" s="186" t="s">
        <v>200</v>
      </c>
      <c r="AB58" s="177" t="s">
        <v>200</v>
      </c>
      <c r="AC58" s="177" t="s">
        <v>200</v>
      </c>
      <c r="AD58" s="177" t="s">
        <v>200</v>
      </c>
      <c r="AE58" s="177" t="s">
        <v>200</v>
      </c>
      <c r="AF58" s="177" t="s">
        <v>200</v>
      </c>
      <c r="AG58" s="177" t="s">
        <v>200</v>
      </c>
      <c r="AH58" s="177" t="s">
        <v>200</v>
      </c>
      <c r="AI58" s="177" t="s">
        <v>200</v>
      </c>
      <c r="AJ58" s="177" t="s">
        <v>200</v>
      </c>
      <c r="AK58" s="177" t="s">
        <v>200</v>
      </c>
      <c r="AL58" s="177" t="s">
        <v>200</v>
      </c>
      <c r="AM58" s="177" t="s">
        <v>200</v>
      </c>
      <c r="AN58" s="177" t="s">
        <v>200</v>
      </c>
      <c r="AO58" s="177" t="s">
        <v>200</v>
      </c>
      <c r="AP58" s="177" t="s">
        <v>200</v>
      </c>
      <c r="AQ58" s="177" t="s">
        <v>200</v>
      </c>
      <c r="AR58" s="177" t="s">
        <v>200</v>
      </c>
      <c r="AS58" s="177" t="s">
        <v>200</v>
      </c>
      <c r="AT58" s="177" t="s">
        <v>200</v>
      </c>
      <c r="AU58" s="177" t="s">
        <v>200</v>
      </c>
      <c r="AV58" s="177" t="s">
        <v>200</v>
      </c>
      <c r="AW58" s="177" t="s">
        <v>200</v>
      </c>
      <c r="AX58" s="177" t="s">
        <v>200</v>
      </c>
      <c r="AY58" s="177" t="s">
        <v>200</v>
      </c>
      <c r="AZ58" s="177" t="s">
        <v>200</v>
      </c>
      <c r="BA58" s="177" t="s">
        <v>200</v>
      </c>
      <c r="BB58" s="177" t="s">
        <v>200</v>
      </c>
      <c r="BC58" s="177" t="s">
        <v>200</v>
      </c>
      <c r="BD58" s="177" t="s">
        <v>200</v>
      </c>
      <c r="BE58" s="177" t="s">
        <v>200</v>
      </c>
      <c r="BF58" s="177" t="s">
        <v>200</v>
      </c>
      <c r="BG58" s="177" t="s">
        <v>200</v>
      </c>
      <c r="BH58" s="177" t="s">
        <v>200</v>
      </c>
      <c r="BI58" s="177" t="s">
        <v>200</v>
      </c>
      <c r="BJ58" s="185">
        <v>61641135</v>
      </c>
    </row>
    <row r="59" spans="2:62" x14ac:dyDescent="0.2">
      <c r="B59" s="175">
        <v>45937</v>
      </c>
      <c r="C59" s="176">
        <v>45937.458595972224</v>
      </c>
      <c r="D59" s="177" t="s">
        <v>267</v>
      </c>
      <c r="E59" s="178" t="s">
        <v>268</v>
      </c>
      <c r="F59" s="179" t="s">
        <v>269</v>
      </c>
      <c r="G59" s="180">
        <v>78.3</v>
      </c>
      <c r="H59" s="181">
        <v>64</v>
      </c>
      <c r="I59" s="181">
        <v>120</v>
      </c>
      <c r="J59" s="181">
        <v>79.23</v>
      </c>
      <c r="K59" s="182">
        <v>78.11</v>
      </c>
      <c r="L59" s="183">
        <v>3268000</v>
      </c>
      <c r="M59" s="184">
        <v>4618000</v>
      </c>
      <c r="N59" s="184">
        <v>71</v>
      </c>
      <c r="O59" s="184">
        <v>22</v>
      </c>
      <c r="P59" s="181">
        <v>3.38</v>
      </c>
      <c r="Q59" s="184">
        <v>65042</v>
      </c>
      <c r="R59" s="184">
        <v>219905</v>
      </c>
      <c r="S59" s="184">
        <v>246676</v>
      </c>
      <c r="T59" s="184">
        <v>192235</v>
      </c>
      <c r="U59" s="184">
        <v>231555</v>
      </c>
      <c r="V59" s="182">
        <v>1.41</v>
      </c>
      <c r="W59" s="183">
        <v>21</v>
      </c>
      <c r="X59" s="185">
        <v>17</v>
      </c>
      <c r="Y59" s="183">
        <v>255884400</v>
      </c>
      <c r="Z59" s="179" t="s">
        <v>270</v>
      </c>
      <c r="AA59" s="183">
        <v>2270700</v>
      </c>
      <c r="AB59" s="184">
        <v>3954150</v>
      </c>
      <c r="AC59" s="184">
        <v>6420600</v>
      </c>
      <c r="AD59" s="184">
        <v>822150</v>
      </c>
      <c r="AE59" s="184">
        <v>4228200</v>
      </c>
      <c r="AF59" s="177" t="s">
        <v>200</v>
      </c>
      <c r="AG59" s="184">
        <v>2231550</v>
      </c>
      <c r="AH59" s="184">
        <v>1957500</v>
      </c>
      <c r="AI59" s="184">
        <v>8691300</v>
      </c>
      <c r="AJ59" s="184">
        <v>19809900</v>
      </c>
      <c r="AK59" s="184">
        <v>3132000</v>
      </c>
      <c r="AL59" s="184">
        <v>11745000</v>
      </c>
      <c r="AM59" s="184">
        <v>900450</v>
      </c>
      <c r="AN59" s="184">
        <v>3366900</v>
      </c>
      <c r="AO59" s="184">
        <v>939600</v>
      </c>
      <c r="AP59" s="184">
        <v>19535850</v>
      </c>
      <c r="AQ59" s="184">
        <v>39150</v>
      </c>
      <c r="AR59" s="184">
        <v>19731600</v>
      </c>
      <c r="AS59" s="184">
        <v>28657800</v>
      </c>
      <c r="AT59" s="184">
        <v>0</v>
      </c>
      <c r="AU59" s="184">
        <v>626400</v>
      </c>
      <c r="AV59" s="184">
        <v>0</v>
      </c>
      <c r="AW59" s="184">
        <v>508950</v>
      </c>
      <c r="AX59" s="184">
        <v>48702600</v>
      </c>
      <c r="AY59" s="184">
        <v>391500</v>
      </c>
      <c r="AZ59" s="184">
        <v>19105200</v>
      </c>
      <c r="BA59" s="184">
        <v>7007850</v>
      </c>
      <c r="BB59" s="184">
        <v>1526850</v>
      </c>
      <c r="BC59" s="177" t="s">
        <v>200</v>
      </c>
      <c r="BD59" s="184">
        <v>4149900</v>
      </c>
      <c r="BE59" s="184">
        <v>3445200</v>
      </c>
      <c r="BF59" s="184">
        <v>1370250</v>
      </c>
      <c r="BG59" s="184">
        <v>27561600</v>
      </c>
      <c r="BH59" s="184">
        <v>1017900</v>
      </c>
      <c r="BI59" s="184">
        <v>2035800</v>
      </c>
      <c r="BJ59" s="187" t="s">
        <v>200</v>
      </c>
    </row>
    <row r="60" spans="2:62" x14ac:dyDescent="0.2">
      <c r="B60" s="175">
        <v>45936</v>
      </c>
      <c r="C60" s="176">
        <v>45936.458752951388</v>
      </c>
      <c r="D60" s="177" t="s">
        <v>267</v>
      </c>
      <c r="E60" s="178" t="s">
        <v>268</v>
      </c>
      <c r="F60" s="179" t="s">
        <v>269</v>
      </c>
      <c r="G60" s="180">
        <v>79.19</v>
      </c>
      <c r="H60" s="181">
        <v>64</v>
      </c>
      <c r="I60" s="181">
        <v>120</v>
      </c>
      <c r="J60" s="181">
        <v>79.3</v>
      </c>
      <c r="K60" s="182">
        <v>78.91</v>
      </c>
      <c r="L60" s="183">
        <v>3268000</v>
      </c>
      <c r="M60" s="184">
        <v>5329500</v>
      </c>
      <c r="N60" s="184">
        <v>86</v>
      </c>
      <c r="O60" s="184">
        <v>22</v>
      </c>
      <c r="P60" s="181">
        <v>3.74</v>
      </c>
      <c r="Q60" s="184">
        <v>61971</v>
      </c>
      <c r="R60" s="184">
        <v>231717</v>
      </c>
      <c r="S60" s="184">
        <v>306791</v>
      </c>
      <c r="T60" s="184">
        <v>217867</v>
      </c>
      <c r="U60" s="184">
        <v>327208</v>
      </c>
      <c r="V60" s="182">
        <v>1.63</v>
      </c>
      <c r="W60" s="183">
        <v>23</v>
      </c>
      <c r="X60" s="185">
        <v>15</v>
      </c>
      <c r="Y60" s="183">
        <v>258792920</v>
      </c>
      <c r="Z60" s="179" t="s">
        <v>270</v>
      </c>
      <c r="AA60" s="183">
        <v>2296510</v>
      </c>
      <c r="AB60" s="184">
        <v>3999095</v>
      </c>
      <c r="AC60" s="184">
        <v>6493580</v>
      </c>
      <c r="AD60" s="184">
        <v>831495</v>
      </c>
      <c r="AE60" s="184">
        <v>4276260</v>
      </c>
      <c r="AF60" s="177" t="s">
        <v>200</v>
      </c>
      <c r="AG60" s="184">
        <v>2256915</v>
      </c>
      <c r="AH60" s="184">
        <v>1979750</v>
      </c>
      <c r="AI60" s="184">
        <v>8790090</v>
      </c>
      <c r="AJ60" s="184">
        <v>20035070</v>
      </c>
      <c r="AK60" s="184">
        <v>3167600</v>
      </c>
      <c r="AL60" s="184">
        <v>11878500</v>
      </c>
      <c r="AM60" s="184">
        <v>910685</v>
      </c>
      <c r="AN60" s="184">
        <v>3405170</v>
      </c>
      <c r="AO60" s="184">
        <v>950280</v>
      </c>
      <c r="AP60" s="184">
        <v>19757905</v>
      </c>
      <c r="AQ60" s="184">
        <v>39595</v>
      </c>
      <c r="AR60" s="184">
        <v>19955880</v>
      </c>
      <c r="AS60" s="184">
        <v>28983540</v>
      </c>
      <c r="AT60" s="184">
        <v>0</v>
      </c>
      <c r="AU60" s="184">
        <v>633520</v>
      </c>
      <c r="AV60" s="184">
        <v>0</v>
      </c>
      <c r="AW60" s="184">
        <v>514735</v>
      </c>
      <c r="AX60" s="184">
        <v>49256180</v>
      </c>
      <c r="AY60" s="184">
        <v>395950</v>
      </c>
      <c r="AZ60" s="184">
        <v>19322360</v>
      </c>
      <c r="BA60" s="184">
        <v>7087505</v>
      </c>
      <c r="BB60" s="184">
        <v>1544205</v>
      </c>
      <c r="BC60" s="177" t="s">
        <v>200</v>
      </c>
      <c r="BD60" s="184">
        <v>4197070</v>
      </c>
      <c r="BE60" s="184">
        <v>3484360</v>
      </c>
      <c r="BF60" s="184">
        <v>1385825</v>
      </c>
      <c r="BG60" s="184">
        <v>27874880</v>
      </c>
      <c r="BH60" s="184">
        <v>1029470</v>
      </c>
      <c r="BI60" s="184">
        <v>2058940</v>
      </c>
      <c r="BJ60" s="187" t="s">
        <v>200</v>
      </c>
    </row>
    <row r="61" spans="2:62" x14ac:dyDescent="0.2">
      <c r="B61" s="175">
        <v>45932</v>
      </c>
      <c r="C61" s="176">
        <v>45932.458615717595</v>
      </c>
      <c r="D61" s="177" t="s">
        <v>267</v>
      </c>
      <c r="E61" s="178" t="s">
        <v>268</v>
      </c>
      <c r="F61" s="179" t="s">
        <v>269</v>
      </c>
      <c r="G61" s="180">
        <v>76.05</v>
      </c>
      <c r="H61" s="181">
        <v>68</v>
      </c>
      <c r="I61" s="181">
        <v>90</v>
      </c>
      <c r="J61" s="181">
        <v>75.989999999999995</v>
      </c>
      <c r="K61" s="182">
        <v>75.87</v>
      </c>
      <c r="L61" s="183">
        <v>3268000</v>
      </c>
      <c r="M61" s="184">
        <v>5071000</v>
      </c>
      <c r="N61" s="184">
        <v>89</v>
      </c>
      <c r="O61" s="184">
        <v>26</v>
      </c>
      <c r="P61" s="181">
        <v>3.87</v>
      </c>
      <c r="Q61" s="184">
        <v>56978</v>
      </c>
      <c r="R61" s="184">
        <v>220478</v>
      </c>
      <c r="S61" s="184">
        <v>300349</v>
      </c>
      <c r="T61" s="184">
        <v>217867</v>
      </c>
      <c r="U61" s="184">
        <v>307273</v>
      </c>
      <c r="V61" s="182">
        <v>1.55</v>
      </c>
      <c r="W61" s="183">
        <v>23</v>
      </c>
      <c r="X61" s="185">
        <v>15</v>
      </c>
      <c r="Y61" s="183">
        <v>248531400</v>
      </c>
      <c r="Z61" s="179" t="s">
        <v>270</v>
      </c>
      <c r="AA61" s="183">
        <v>2205450</v>
      </c>
      <c r="AB61" s="184">
        <v>3840525</v>
      </c>
      <c r="AC61" s="184">
        <v>6236100</v>
      </c>
      <c r="AD61" s="184">
        <v>798525</v>
      </c>
      <c r="AE61" s="184">
        <v>4106700</v>
      </c>
      <c r="AF61" s="177" t="s">
        <v>200</v>
      </c>
      <c r="AG61" s="184">
        <v>2167425</v>
      </c>
      <c r="AH61" s="184">
        <v>1901250</v>
      </c>
      <c r="AI61" s="184">
        <v>8441550</v>
      </c>
      <c r="AJ61" s="184">
        <v>19240650</v>
      </c>
      <c r="AK61" s="184">
        <v>3042000</v>
      </c>
      <c r="AL61" s="184">
        <v>11407500</v>
      </c>
      <c r="AM61" s="184">
        <v>874575</v>
      </c>
      <c r="AN61" s="184">
        <v>3270150</v>
      </c>
      <c r="AO61" s="184">
        <v>912600</v>
      </c>
      <c r="AP61" s="184">
        <v>18974475</v>
      </c>
      <c r="AQ61" s="184">
        <v>38025</v>
      </c>
      <c r="AR61" s="184">
        <v>19164600</v>
      </c>
      <c r="AS61" s="184">
        <v>27834300</v>
      </c>
      <c r="AT61" s="184">
        <v>0</v>
      </c>
      <c r="AU61" s="184">
        <v>608400</v>
      </c>
      <c r="AV61" s="184">
        <v>0</v>
      </c>
      <c r="AW61" s="184">
        <v>494325</v>
      </c>
      <c r="AX61" s="184">
        <v>47303100</v>
      </c>
      <c r="AY61" s="184">
        <v>380250</v>
      </c>
      <c r="AZ61" s="184">
        <v>18556200</v>
      </c>
      <c r="BA61" s="184">
        <v>6806475</v>
      </c>
      <c r="BB61" s="184">
        <v>1482975</v>
      </c>
      <c r="BC61" s="177" t="s">
        <v>200</v>
      </c>
      <c r="BD61" s="184">
        <v>4030650</v>
      </c>
      <c r="BE61" s="184">
        <v>3346200</v>
      </c>
      <c r="BF61" s="184">
        <v>1330875</v>
      </c>
      <c r="BG61" s="184">
        <v>26769600</v>
      </c>
      <c r="BH61" s="184">
        <v>988650</v>
      </c>
      <c r="BI61" s="184">
        <v>1977300</v>
      </c>
      <c r="BJ61" s="187" t="s">
        <v>200</v>
      </c>
    </row>
    <row r="62" spans="2:62" x14ac:dyDescent="0.2">
      <c r="B62" s="175">
        <v>45931</v>
      </c>
      <c r="C62" s="176">
        <v>45931.458844074077</v>
      </c>
      <c r="D62" s="177" t="s">
        <v>273</v>
      </c>
      <c r="E62" s="178" t="s">
        <v>268</v>
      </c>
      <c r="F62" s="179" t="s">
        <v>269</v>
      </c>
      <c r="G62" s="180">
        <v>74.3</v>
      </c>
      <c r="H62" s="181">
        <v>65</v>
      </c>
      <c r="I62" s="181">
        <v>90</v>
      </c>
      <c r="J62" s="181">
        <v>74.61</v>
      </c>
      <c r="K62" s="182">
        <v>74.180000000000007</v>
      </c>
      <c r="L62" s="183">
        <v>2162500</v>
      </c>
      <c r="M62" s="184">
        <v>3092000</v>
      </c>
      <c r="N62" s="184">
        <v>75</v>
      </c>
      <c r="O62" s="184">
        <v>25</v>
      </c>
      <c r="P62" s="181">
        <v>3.75</v>
      </c>
      <c r="Q62" s="184">
        <v>41227</v>
      </c>
      <c r="R62" s="184">
        <v>154600</v>
      </c>
      <c r="S62" s="184">
        <v>215476</v>
      </c>
      <c r="T62" s="184">
        <v>154464</v>
      </c>
      <c r="U62" s="184">
        <v>255064</v>
      </c>
      <c r="V62" s="182">
        <v>1.43</v>
      </c>
      <c r="W62" s="183">
        <v>20</v>
      </c>
      <c r="X62" s="185">
        <v>14</v>
      </c>
      <c r="Y62" s="183">
        <v>160673750</v>
      </c>
      <c r="Z62" s="179" t="s">
        <v>274</v>
      </c>
      <c r="AA62" s="186" t="s">
        <v>200</v>
      </c>
      <c r="AB62" s="177" t="s">
        <v>200</v>
      </c>
      <c r="AC62" s="177" t="s">
        <v>200</v>
      </c>
      <c r="AD62" s="177" t="s">
        <v>200</v>
      </c>
      <c r="AE62" s="177" t="s">
        <v>200</v>
      </c>
      <c r="AF62" s="177" t="s">
        <v>200</v>
      </c>
      <c r="AG62" s="177" t="s">
        <v>200</v>
      </c>
      <c r="AH62" s="177" t="s">
        <v>200</v>
      </c>
      <c r="AI62" s="177" t="s">
        <v>200</v>
      </c>
      <c r="AJ62" s="177" t="s">
        <v>200</v>
      </c>
      <c r="AK62" s="177" t="s">
        <v>200</v>
      </c>
      <c r="AL62" s="177" t="s">
        <v>200</v>
      </c>
      <c r="AM62" s="177" t="s">
        <v>200</v>
      </c>
      <c r="AN62" s="177" t="s">
        <v>200</v>
      </c>
      <c r="AO62" s="177" t="s">
        <v>200</v>
      </c>
      <c r="AP62" s="177" t="s">
        <v>200</v>
      </c>
      <c r="AQ62" s="177" t="s">
        <v>200</v>
      </c>
      <c r="AR62" s="177" t="s">
        <v>200</v>
      </c>
      <c r="AS62" s="177" t="s">
        <v>200</v>
      </c>
      <c r="AT62" s="177" t="s">
        <v>200</v>
      </c>
      <c r="AU62" s="177" t="s">
        <v>200</v>
      </c>
      <c r="AV62" s="177" t="s">
        <v>200</v>
      </c>
      <c r="AW62" s="177" t="s">
        <v>200</v>
      </c>
      <c r="AX62" s="177" t="s">
        <v>200</v>
      </c>
      <c r="AY62" s="177" t="s">
        <v>200</v>
      </c>
      <c r="AZ62" s="177" t="s">
        <v>200</v>
      </c>
      <c r="BA62" s="177" t="s">
        <v>200</v>
      </c>
      <c r="BB62" s="177" t="s">
        <v>200</v>
      </c>
      <c r="BC62" s="184">
        <v>160673750</v>
      </c>
      <c r="BD62" s="177" t="s">
        <v>200</v>
      </c>
      <c r="BE62" s="177" t="s">
        <v>200</v>
      </c>
      <c r="BF62" s="177" t="s">
        <v>200</v>
      </c>
      <c r="BG62" s="177" t="s">
        <v>200</v>
      </c>
      <c r="BH62" s="177" t="s">
        <v>200</v>
      </c>
      <c r="BI62" s="177" t="s">
        <v>200</v>
      </c>
      <c r="BJ62" s="187" t="s">
        <v>200</v>
      </c>
    </row>
    <row r="63" spans="2:62" x14ac:dyDescent="0.2">
      <c r="B63" s="175">
        <v>45930</v>
      </c>
      <c r="C63" s="176">
        <v>45930.458595752316</v>
      </c>
      <c r="D63" s="177" t="s">
        <v>267</v>
      </c>
      <c r="E63" s="178" t="s">
        <v>268</v>
      </c>
      <c r="F63" s="179" t="s">
        <v>269</v>
      </c>
      <c r="G63" s="180">
        <v>75.95</v>
      </c>
      <c r="H63" s="181">
        <v>65</v>
      </c>
      <c r="I63" s="181">
        <v>120</v>
      </c>
      <c r="J63" s="181">
        <v>76.75</v>
      </c>
      <c r="K63" s="182">
        <v>75.81</v>
      </c>
      <c r="L63" s="183">
        <v>3268500</v>
      </c>
      <c r="M63" s="184">
        <v>4711000</v>
      </c>
      <c r="N63" s="184">
        <v>91</v>
      </c>
      <c r="O63" s="184">
        <v>29</v>
      </c>
      <c r="P63" s="181">
        <v>4.1399999999999997</v>
      </c>
      <c r="Q63" s="184">
        <v>51769</v>
      </c>
      <c r="R63" s="184">
        <v>214136</v>
      </c>
      <c r="S63" s="184">
        <v>277026</v>
      </c>
      <c r="T63" s="184">
        <v>192265</v>
      </c>
      <c r="U63" s="184">
        <v>242573</v>
      </c>
      <c r="V63" s="182">
        <v>1.44</v>
      </c>
      <c r="W63" s="183">
        <v>22</v>
      </c>
      <c r="X63" s="185">
        <v>17</v>
      </c>
      <c r="Y63" s="183">
        <v>248242575</v>
      </c>
      <c r="Z63" s="179" t="s">
        <v>270</v>
      </c>
      <c r="AA63" s="183">
        <v>2202550</v>
      </c>
      <c r="AB63" s="184">
        <v>3835475</v>
      </c>
      <c r="AC63" s="184">
        <v>6227900</v>
      </c>
      <c r="AD63" s="184">
        <v>797475</v>
      </c>
      <c r="AE63" s="184">
        <v>4101300</v>
      </c>
      <c r="AF63" s="177" t="s">
        <v>200</v>
      </c>
      <c r="AG63" s="184">
        <v>2164575</v>
      </c>
      <c r="AH63" s="184">
        <v>1898750</v>
      </c>
      <c r="AI63" s="184">
        <v>8430450</v>
      </c>
      <c r="AJ63" s="184">
        <v>19215350</v>
      </c>
      <c r="AK63" s="184">
        <v>3038000</v>
      </c>
      <c r="AL63" s="184">
        <v>11392500</v>
      </c>
      <c r="AM63" s="184">
        <v>873425</v>
      </c>
      <c r="AN63" s="184">
        <v>3265850</v>
      </c>
      <c r="AO63" s="184">
        <v>911400</v>
      </c>
      <c r="AP63" s="184">
        <v>18949525</v>
      </c>
      <c r="AQ63" s="184">
        <v>37975</v>
      </c>
      <c r="AR63" s="184">
        <v>19139400</v>
      </c>
      <c r="AS63" s="184">
        <v>27797700</v>
      </c>
      <c r="AT63" s="184">
        <v>37975</v>
      </c>
      <c r="AU63" s="184">
        <v>607600</v>
      </c>
      <c r="AV63" s="184">
        <v>0</v>
      </c>
      <c r="AW63" s="184">
        <v>493675</v>
      </c>
      <c r="AX63" s="184">
        <v>47240900</v>
      </c>
      <c r="AY63" s="184">
        <v>379750</v>
      </c>
      <c r="AZ63" s="184">
        <v>18531800</v>
      </c>
      <c r="BA63" s="184">
        <v>6797525</v>
      </c>
      <c r="BB63" s="184">
        <v>1481025</v>
      </c>
      <c r="BC63" s="177" t="s">
        <v>200</v>
      </c>
      <c r="BD63" s="184">
        <v>4025350</v>
      </c>
      <c r="BE63" s="184">
        <v>3341800</v>
      </c>
      <c r="BF63" s="184">
        <v>1329125</v>
      </c>
      <c r="BG63" s="184">
        <v>26734400</v>
      </c>
      <c r="BH63" s="184">
        <v>987350</v>
      </c>
      <c r="BI63" s="184">
        <v>1974700</v>
      </c>
      <c r="BJ63" s="187" t="s">
        <v>200</v>
      </c>
    </row>
    <row r="64" spans="2:62" x14ac:dyDescent="0.2">
      <c r="B64" s="175">
        <v>45929</v>
      </c>
      <c r="C64" s="176">
        <v>45929.458779606481</v>
      </c>
      <c r="D64" s="177" t="s">
        <v>267</v>
      </c>
      <c r="E64" s="178" t="s">
        <v>268</v>
      </c>
      <c r="F64" s="179" t="s">
        <v>269</v>
      </c>
      <c r="G64" s="180">
        <v>75.2</v>
      </c>
      <c r="H64" s="181">
        <v>65</v>
      </c>
      <c r="I64" s="181">
        <v>90</v>
      </c>
      <c r="J64" s="181">
        <v>75.19</v>
      </c>
      <c r="K64" s="182">
        <v>74.91</v>
      </c>
      <c r="L64" s="183">
        <v>3268000</v>
      </c>
      <c r="M64" s="184">
        <v>4941000</v>
      </c>
      <c r="N64" s="184">
        <v>85</v>
      </c>
      <c r="O64" s="184">
        <v>24</v>
      </c>
      <c r="P64" s="181">
        <v>3.4</v>
      </c>
      <c r="Q64" s="184">
        <v>58129</v>
      </c>
      <c r="R64" s="184">
        <v>197640</v>
      </c>
      <c r="S64" s="184">
        <v>229561</v>
      </c>
      <c r="T64" s="184">
        <v>204250</v>
      </c>
      <c r="U64" s="184">
        <v>213068</v>
      </c>
      <c r="V64" s="182">
        <v>1.51</v>
      </c>
      <c r="W64" s="183">
        <v>25</v>
      </c>
      <c r="X64" s="185">
        <v>16</v>
      </c>
      <c r="Y64" s="183">
        <v>245753600</v>
      </c>
      <c r="Z64" s="179" t="s">
        <v>270</v>
      </c>
      <c r="AA64" s="183">
        <v>2180800</v>
      </c>
      <c r="AB64" s="184">
        <v>3797600</v>
      </c>
      <c r="AC64" s="184">
        <v>6166400</v>
      </c>
      <c r="AD64" s="184">
        <v>789600</v>
      </c>
      <c r="AE64" s="184">
        <v>4060800</v>
      </c>
      <c r="AF64" s="177" t="s">
        <v>200</v>
      </c>
      <c r="AG64" s="184">
        <v>2143200</v>
      </c>
      <c r="AH64" s="184">
        <v>1880000</v>
      </c>
      <c r="AI64" s="184">
        <v>8347200</v>
      </c>
      <c r="AJ64" s="184">
        <v>19025600</v>
      </c>
      <c r="AK64" s="184">
        <v>3008000</v>
      </c>
      <c r="AL64" s="184">
        <v>11280000</v>
      </c>
      <c r="AM64" s="184">
        <v>864800</v>
      </c>
      <c r="AN64" s="184">
        <v>3233600</v>
      </c>
      <c r="AO64" s="184">
        <v>902400</v>
      </c>
      <c r="AP64" s="184">
        <v>18762400</v>
      </c>
      <c r="AQ64" s="184">
        <v>37600</v>
      </c>
      <c r="AR64" s="184">
        <v>18950400</v>
      </c>
      <c r="AS64" s="184">
        <v>27523200</v>
      </c>
      <c r="AT64" s="184">
        <v>0</v>
      </c>
      <c r="AU64" s="184">
        <v>601600</v>
      </c>
      <c r="AV64" s="184">
        <v>0</v>
      </c>
      <c r="AW64" s="184">
        <v>488800</v>
      </c>
      <c r="AX64" s="184">
        <v>46774400</v>
      </c>
      <c r="AY64" s="184">
        <v>376000</v>
      </c>
      <c r="AZ64" s="184">
        <v>18348800</v>
      </c>
      <c r="BA64" s="184">
        <v>6730400</v>
      </c>
      <c r="BB64" s="184">
        <v>1466400</v>
      </c>
      <c r="BC64" s="177" t="s">
        <v>200</v>
      </c>
      <c r="BD64" s="184">
        <v>3985600</v>
      </c>
      <c r="BE64" s="184">
        <v>3308800</v>
      </c>
      <c r="BF64" s="184">
        <v>1316000</v>
      </c>
      <c r="BG64" s="184">
        <v>26470400</v>
      </c>
      <c r="BH64" s="184">
        <v>977600</v>
      </c>
      <c r="BI64" s="184">
        <v>1955200</v>
      </c>
      <c r="BJ64" s="187" t="s">
        <v>200</v>
      </c>
    </row>
    <row r="65" spans="2:62" x14ac:dyDescent="0.2">
      <c r="B65" s="175">
        <v>45926</v>
      </c>
      <c r="C65" s="176">
        <v>45926.458788414355</v>
      </c>
      <c r="D65" s="177" t="s">
        <v>271</v>
      </c>
      <c r="E65" s="178" t="s">
        <v>268</v>
      </c>
      <c r="F65" s="179" t="s">
        <v>269</v>
      </c>
      <c r="G65" s="180">
        <v>75.17</v>
      </c>
      <c r="H65" s="181">
        <v>69</v>
      </c>
      <c r="I65" s="181">
        <v>78</v>
      </c>
      <c r="J65" s="181">
        <v>74.77</v>
      </c>
      <c r="K65" s="182">
        <v>74.739999999999995</v>
      </c>
      <c r="L65" s="183">
        <v>1691000</v>
      </c>
      <c r="M65" s="184">
        <v>3513000</v>
      </c>
      <c r="N65" s="184">
        <v>87</v>
      </c>
      <c r="O65" s="184">
        <v>18</v>
      </c>
      <c r="P65" s="181">
        <v>3.78</v>
      </c>
      <c r="Q65" s="184">
        <v>40379</v>
      </c>
      <c r="R65" s="184">
        <v>152739</v>
      </c>
      <c r="S65" s="184">
        <v>179220</v>
      </c>
      <c r="T65" s="184">
        <v>130077</v>
      </c>
      <c r="U65" s="184">
        <v>161770</v>
      </c>
      <c r="V65" s="182">
        <v>2.08</v>
      </c>
      <c r="W65" s="183">
        <v>23</v>
      </c>
      <c r="X65" s="185">
        <v>13</v>
      </c>
      <c r="Y65" s="183">
        <v>127112470</v>
      </c>
      <c r="Z65" s="179" t="s">
        <v>272</v>
      </c>
      <c r="AA65" s="186" t="s">
        <v>200</v>
      </c>
      <c r="AB65" s="177" t="s">
        <v>200</v>
      </c>
      <c r="AC65" s="177" t="s">
        <v>200</v>
      </c>
      <c r="AD65" s="177" t="s">
        <v>200</v>
      </c>
      <c r="AE65" s="177" t="s">
        <v>200</v>
      </c>
      <c r="AF65" s="184">
        <v>127112470</v>
      </c>
      <c r="AG65" s="177" t="s">
        <v>200</v>
      </c>
      <c r="AH65" s="177" t="s">
        <v>200</v>
      </c>
      <c r="AI65" s="177" t="s">
        <v>200</v>
      </c>
      <c r="AJ65" s="177" t="s">
        <v>200</v>
      </c>
      <c r="AK65" s="177" t="s">
        <v>200</v>
      </c>
      <c r="AL65" s="177" t="s">
        <v>200</v>
      </c>
      <c r="AM65" s="177" t="s">
        <v>200</v>
      </c>
      <c r="AN65" s="177" t="s">
        <v>200</v>
      </c>
      <c r="AO65" s="177" t="s">
        <v>200</v>
      </c>
      <c r="AP65" s="177" t="s">
        <v>200</v>
      </c>
      <c r="AQ65" s="177" t="s">
        <v>200</v>
      </c>
      <c r="AR65" s="177" t="s">
        <v>200</v>
      </c>
      <c r="AS65" s="177" t="s">
        <v>200</v>
      </c>
      <c r="AT65" s="177" t="s">
        <v>200</v>
      </c>
      <c r="AU65" s="177" t="s">
        <v>200</v>
      </c>
      <c r="AV65" s="177" t="s">
        <v>200</v>
      </c>
      <c r="AW65" s="177" t="s">
        <v>200</v>
      </c>
      <c r="AX65" s="177" t="s">
        <v>200</v>
      </c>
      <c r="AY65" s="177" t="s">
        <v>200</v>
      </c>
      <c r="AZ65" s="177" t="s">
        <v>200</v>
      </c>
      <c r="BA65" s="177" t="s">
        <v>200</v>
      </c>
      <c r="BB65" s="177" t="s">
        <v>200</v>
      </c>
      <c r="BC65" s="177" t="s">
        <v>200</v>
      </c>
      <c r="BD65" s="177" t="s">
        <v>200</v>
      </c>
      <c r="BE65" s="177" t="s">
        <v>200</v>
      </c>
      <c r="BF65" s="177" t="s">
        <v>200</v>
      </c>
      <c r="BG65" s="177" t="s">
        <v>200</v>
      </c>
      <c r="BH65" s="177" t="s">
        <v>200</v>
      </c>
      <c r="BI65" s="177" t="s">
        <v>200</v>
      </c>
      <c r="BJ65" s="187" t="s">
        <v>200</v>
      </c>
    </row>
    <row r="66" spans="2:62" x14ac:dyDescent="0.2">
      <c r="B66" s="175">
        <v>45925</v>
      </c>
      <c r="C66" s="176">
        <v>45925.45861306713</v>
      </c>
      <c r="D66" s="177" t="s">
        <v>267</v>
      </c>
      <c r="E66" s="178" t="s">
        <v>268</v>
      </c>
      <c r="F66" s="179" t="s">
        <v>269</v>
      </c>
      <c r="G66" s="180">
        <v>75.56</v>
      </c>
      <c r="H66" s="181">
        <v>74.5</v>
      </c>
      <c r="I66" s="181">
        <v>120</v>
      </c>
      <c r="J66" s="181">
        <v>77.67</v>
      </c>
      <c r="K66" s="182">
        <v>75.709999999999994</v>
      </c>
      <c r="L66" s="183">
        <v>3268000</v>
      </c>
      <c r="M66" s="184">
        <v>3521000</v>
      </c>
      <c r="N66" s="184">
        <v>75</v>
      </c>
      <c r="O66" s="184">
        <v>54</v>
      </c>
      <c r="P66" s="181">
        <v>3.41</v>
      </c>
      <c r="Q66" s="184">
        <v>46947</v>
      </c>
      <c r="R66" s="184">
        <v>160045</v>
      </c>
      <c r="S66" s="184">
        <v>203601</v>
      </c>
      <c r="T66" s="184">
        <v>155619</v>
      </c>
      <c r="U66" s="184">
        <v>206055</v>
      </c>
      <c r="V66" s="182">
        <v>1.08</v>
      </c>
      <c r="W66" s="183">
        <v>22</v>
      </c>
      <c r="X66" s="185">
        <v>21</v>
      </c>
      <c r="Y66" s="183">
        <v>246930080</v>
      </c>
      <c r="Z66" s="179" t="s">
        <v>270</v>
      </c>
      <c r="AA66" s="183">
        <v>2191240</v>
      </c>
      <c r="AB66" s="184">
        <v>3815780</v>
      </c>
      <c r="AC66" s="184">
        <v>6195920</v>
      </c>
      <c r="AD66" s="184">
        <v>793380</v>
      </c>
      <c r="AE66" s="184">
        <v>4080240</v>
      </c>
      <c r="AF66" s="177" t="s">
        <v>200</v>
      </c>
      <c r="AG66" s="184">
        <v>2153460</v>
      </c>
      <c r="AH66" s="184">
        <v>1889000</v>
      </c>
      <c r="AI66" s="184">
        <v>8387160</v>
      </c>
      <c r="AJ66" s="184">
        <v>19116680</v>
      </c>
      <c r="AK66" s="184">
        <v>3022400</v>
      </c>
      <c r="AL66" s="184">
        <v>11334000</v>
      </c>
      <c r="AM66" s="184">
        <v>868940</v>
      </c>
      <c r="AN66" s="184">
        <v>3249080</v>
      </c>
      <c r="AO66" s="184">
        <v>906720</v>
      </c>
      <c r="AP66" s="184">
        <v>18852220</v>
      </c>
      <c r="AQ66" s="184">
        <v>37780</v>
      </c>
      <c r="AR66" s="184">
        <v>19041120</v>
      </c>
      <c r="AS66" s="184">
        <v>27654960</v>
      </c>
      <c r="AT66" s="184">
        <v>0</v>
      </c>
      <c r="AU66" s="184">
        <v>604480</v>
      </c>
      <c r="AV66" s="184">
        <v>0</v>
      </c>
      <c r="AW66" s="184">
        <v>491140</v>
      </c>
      <c r="AX66" s="184">
        <v>46998320</v>
      </c>
      <c r="AY66" s="184">
        <v>377800</v>
      </c>
      <c r="AZ66" s="184">
        <v>18436640</v>
      </c>
      <c r="BA66" s="184">
        <v>6762620</v>
      </c>
      <c r="BB66" s="184">
        <v>1473420</v>
      </c>
      <c r="BC66" s="177" t="s">
        <v>200</v>
      </c>
      <c r="BD66" s="184">
        <v>4004680</v>
      </c>
      <c r="BE66" s="184">
        <v>3324640</v>
      </c>
      <c r="BF66" s="184">
        <v>1322300</v>
      </c>
      <c r="BG66" s="184">
        <v>26597120</v>
      </c>
      <c r="BH66" s="184">
        <v>982280</v>
      </c>
      <c r="BI66" s="184">
        <v>1964560</v>
      </c>
      <c r="BJ66" s="187" t="s">
        <v>200</v>
      </c>
    </row>
    <row r="67" spans="2:62" x14ac:dyDescent="0.2">
      <c r="B67" s="175">
        <v>45923</v>
      </c>
      <c r="C67" s="176">
        <v>45923.458664687503</v>
      </c>
      <c r="D67" s="177" t="s">
        <v>267</v>
      </c>
      <c r="E67" s="178" t="s">
        <v>268</v>
      </c>
      <c r="F67" s="179" t="s">
        <v>269</v>
      </c>
      <c r="G67" s="180">
        <v>75.599999999999994</v>
      </c>
      <c r="H67" s="181">
        <v>70</v>
      </c>
      <c r="I67" s="181">
        <v>85</v>
      </c>
      <c r="J67" s="181">
        <v>75.709999999999994</v>
      </c>
      <c r="K67" s="182">
        <v>75.599999999999994</v>
      </c>
      <c r="L67" s="183">
        <v>3268000</v>
      </c>
      <c r="M67" s="184">
        <v>3985500</v>
      </c>
      <c r="N67" s="184">
        <v>87</v>
      </c>
      <c r="O67" s="184">
        <v>43</v>
      </c>
      <c r="P67" s="181">
        <v>3.48</v>
      </c>
      <c r="Q67" s="184">
        <v>45810</v>
      </c>
      <c r="R67" s="184">
        <v>159420</v>
      </c>
      <c r="S67" s="184">
        <v>241924</v>
      </c>
      <c r="T67" s="184">
        <v>155619</v>
      </c>
      <c r="U67" s="184">
        <v>254423</v>
      </c>
      <c r="V67" s="182">
        <v>1.22</v>
      </c>
      <c r="W67" s="183">
        <v>25</v>
      </c>
      <c r="X67" s="185">
        <v>21</v>
      </c>
      <c r="Y67" s="183">
        <v>247060800</v>
      </c>
      <c r="Z67" s="179" t="s">
        <v>270</v>
      </c>
      <c r="AA67" s="183">
        <v>2192400</v>
      </c>
      <c r="AB67" s="184">
        <v>3817800</v>
      </c>
      <c r="AC67" s="184">
        <v>6199200</v>
      </c>
      <c r="AD67" s="184">
        <v>793800</v>
      </c>
      <c r="AE67" s="184">
        <v>4082400</v>
      </c>
      <c r="AF67" s="177" t="s">
        <v>200</v>
      </c>
      <c r="AG67" s="184">
        <v>2154600</v>
      </c>
      <c r="AH67" s="184">
        <v>1890000</v>
      </c>
      <c r="AI67" s="184">
        <v>8391600</v>
      </c>
      <c r="AJ67" s="184">
        <v>19126800</v>
      </c>
      <c r="AK67" s="184">
        <v>3024000</v>
      </c>
      <c r="AL67" s="184">
        <v>11340000</v>
      </c>
      <c r="AM67" s="184">
        <v>869400</v>
      </c>
      <c r="AN67" s="184">
        <v>3250800</v>
      </c>
      <c r="AO67" s="184">
        <v>907200</v>
      </c>
      <c r="AP67" s="184">
        <v>18862200</v>
      </c>
      <c r="AQ67" s="184">
        <v>37800</v>
      </c>
      <c r="AR67" s="184">
        <v>19051200</v>
      </c>
      <c r="AS67" s="184">
        <v>27669600</v>
      </c>
      <c r="AT67" s="184">
        <v>0</v>
      </c>
      <c r="AU67" s="184">
        <v>604800</v>
      </c>
      <c r="AV67" s="184">
        <v>0</v>
      </c>
      <c r="AW67" s="184">
        <v>491400</v>
      </c>
      <c r="AX67" s="184">
        <v>47023200</v>
      </c>
      <c r="AY67" s="184">
        <v>378000</v>
      </c>
      <c r="AZ67" s="184">
        <v>18446400</v>
      </c>
      <c r="BA67" s="184">
        <v>6766200</v>
      </c>
      <c r="BB67" s="184">
        <v>1474200</v>
      </c>
      <c r="BC67" s="177" t="s">
        <v>200</v>
      </c>
      <c r="BD67" s="184">
        <v>4006800</v>
      </c>
      <c r="BE67" s="184">
        <v>3326400</v>
      </c>
      <c r="BF67" s="184">
        <v>1323000</v>
      </c>
      <c r="BG67" s="184">
        <v>26611200</v>
      </c>
      <c r="BH67" s="184">
        <v>982800</v>
      </c>
      <c r="BI67" s="184">
        <v>1965600</v>
      </c>
      <c r="BJ67" s="187" t="s">
        <v>200</v>
      </c>
    </row>
    <row r="68" spans="2:62" x14ac:dyDescent="0.2">
      <c r="B68" s="175">
        <v>45922</v>
      </c>
      <c r="C68" s="176">
        <v>45922.459333159721</v>
      </c>
      <c r="D68" s="177" t="s">
        <v>267</v>
      </c>
      <c r="E68" s="178" t="s">
        <v>268</v>
      </c>
      <c r="F68" s="179" t="s">
        <v>269</v>
      </c>
      <c r="G68" s="180">
        <v>76.8</v>
      </c>
      <c r="H68" s="181">
        <v>70</v>
      </c>
      <c r="I68" s="181">
        <v>120</v>
      </c>
      <c r="J68" s="181">
        <v>77.55</v>
      </c>
      <c r="K68" s="182">
        <v>76.73</v>
      </c>
      <c r="L68" s="183">
        <v>3268000</v>
      </c>
      <c r="M68" s="184">
        <v>4859500</v>
      </c>
      <c r="N68" s="184">
        <v>114</v>
      </c>
      <c r="O68" s="184">
        <v>49</v>
      </c>
      <c r="P68" s="181">
        <v>4.22</v>
      </c>
      <c r="Q68" s="184">
        <v>42627</v>
      </c>
      <c r="R68" s="184">
        <v>179981</v>
      </c>
      <c r="S68" s="184">
        <v>230487</v>
      </c>
      <c r="T68" s="184">
        <v>130720</v>
      </c>
      <c r="U68" s="184">
        <v>192615</v>
      </c>
      <c r="V68" s="182">
        <v>1.49</v>
      </c>
      <c r="W68" s="183">
        <v>27</v>
      </c>
      <c r="X68" s="185">
        <v>25</v>
      </c>
      <c r="Y68" s="183">
        <v>250982400</v>
      </c>
      <c r="Z68" s="179" t="s">
        <v>270</v>
      </c>
      <c r="AA68" s="183">
        <v>2227200</v>
      </c>
      <c r="AB68" s="184">
        <v>3878400</v>
      </c>
      <c r="AC68" s="184">
        <v>6297600</v>
      </c>
      <c r="AD68" s="184">
        <v>806400</v>
      </c>
      <c r="AE68" s="184">
        <v>4147200</v>
      </c>
      <c r="AF68" s="177" t="s">
        <v>200</v>
      </c>
      <c r="AG68" s="184">
        <v>2188800</v>
      </c>
      <c r="AH68" s="184">
        <v>1920000</v>
      </c>
      <c r="AI68" s="184">
        <v>8524800</v>
      </c>
      <c r="AJ68" s="184">
        <v>19430400</v>
      </c>
      <c r="AK68" s="184">
        <v>3072000</v>
      </c>
      <c r="AL68" s="184">
        <v>11520000</v>
      </c>
      <c r="AM68" s="184">
        <v>883200</v>
      </c>
      <c r="AN68" s="184">
        <v>3302400</v>
      </c>
      <c r="AO68" s="184">
        <v>921600</v>
      </c>
      <c r="AP68" s="184">
        <v>19161600</v>
      </c>
      <c r="AQ68" s="184">
        <v>38400</v>
      </c>
      <c r="AR68" s="184">
        <v>19353600</v>
      </c>
      <c r="AS68" s="184">
        <v>28108800</v>
      </c>
      <c r="AT68" s="184">
        <v>0</v>
      </c>
      <c r="AU68" s="184">
        <v>614400</v>
      </c>
      <c r="AV68" s="184">
        <v>0</v>
      </c>
      <c r="AW68" s="184">
        <v>499200</v>
      </c>
      <c r="AX68" s="184">
        <v>47769600</v>
      </c>
      <c r="AY68" s="184">
        <v>384000</v>
      </c>
      <c r="AZ68" s="184">
        <v>18739200</v>
      </c>
      <c r="BA68" s="184">
        <v>6873600</v>
      </c>
      <c r="BB68" s="184">
        <v>1497600</v>
      </c>
      <c r="BC68" s="177" t="s">
        <v>200</v>
      </c>
      <c r="BD68" s="184">
        <v>4070400</v>
      </c>
      <c r="BE68" s="184">
        <v>3379200</v>
      </c>
      <c r="BF68" s="184">
        <v>1344000</v>
      </c>
      <c r="BG68" s="184">
        <v>27033600</v>
      </c>
      <c r="BH68" s="184">
        <v>998400</v>
      </c>
      <c r="BI68" s="184">
        <v>1996800</v>
      </c>
      <c r="BJ68" s="187" t="s">
        <v>200</v>
      </c>
    </row>
    <row r="69" spans="2:62" x14ac:dyDescent="0.2">
      <c r="B69" s="175">
        <v>45919</v>
      </c>
      <c r="C69" s="176">
        <v>45919.458873518517</v>
      </c>
      <c r="D69" s="177" t="s">
        <v>271</v>
      </c>
      <c r="E69" s="178" t="s">
        <v>268</v>
      </c>
      <c r="F69" s="179" t="s">
        <v>269</v>
      </c>
      <c r="G69" s="180">
        <v>76.569999999999993</v>
      </c>
      <c r="H69" s="181">
        <v>68</v>
      </c>
      <c r="I69" s="181">
        <v>120</v>
      </c>
      <c r="J69" s="181">
        <v>77.3</v>
      </c>
      <c r="K69" s="182">
        <v>76.430000000000007</v>
      </c>
      <c r="L69" s="183">
        <v>1691000</v>
      </c>
      <c r="M69" s="184">
        <v>2832000</v>
      </c>
      <c r="N69" s="184">
        <v>82</v>
      </c>
      <c r="O69" s="184">
        <v>27</v>
      </c>
      <c r="P69" s="181">
        <v>3.9</v>
      </c>
      <c r="Q69" s="184">
        <v>34537</v>
      </c>
      <c r="R69" s="184">
        <v>134857</v>
      </c>
      <c r="S69" s="184">
        <v>165506</v>
      </c>
      <c r="T69" s="184">
        <v>93944</v>
      </c>
      <c r="U69" s="184">
        <v>155202</v>
      </c>
      <c r="V69" s="182">
        <v>1.67</v>
      </c>
      <c r="W69" s="183">
        <v>21</v>
      </c>
      <c r="X69" s="185">
        <v>18</v>
      </c>
      <c r="Y69" s="183">
        <v>129479870</v>
      </c>
      <c r="Z69" s="179" t="s">
        <v>272</v>
      </c>
      <c r="AA69" s="186" t="s">
        <v>200</v>
      </c>
      <c r="AB69" s="177" t="s">
        <v>200</v>
      </c>
      <c r="AC69" s="177" t="s">
        <v>200</v>
      </c>
      <c r="AD69" s="177" t="s">
        <v>200</v>
      </c>
      <c r="AE69" s="177" t="s">
        <v>200</v>
      </c>
      <c r="AF69" s="184">
        <v>129479870</v>
      </c>
      <c r="AG69" s="177" t="s">
        <v>200</v>
      </c>
      <c r="AH69" s="177" t="s">
        <v>200</v>
      </c>
      <c r="AI69" s="177" t="s">
        <v>200</v>
      </c>
      <c r="AJ69" s="177" t="s">
        <v>200</v>
      </c>
      <c r="AK69" s="177" t="s">
        <v>200</v>
      </c>
      <c r="AL69" s="177" t="s">
        <v>200</v>
      </c>
      <c r="AM69" s="177" t="s">
        <v>200</v>
      </c>
      <c r="AN69" s="177" t="s">
        <v>200</v>
      </c>
      <c r="AO69" s="177" t="s">
        <v>200</v>
      </c>
      <c r="AP69" s="177" t="s">
        <v>200</v>
      </c>
      <c r="AQ69" s="177" t="s">
        <v>200</v>
      </c>
      <c r="AR69" s="177" t="s">
        <v>200</v>
      </c>
      <c r="AS69" s="177" t="s">
        <v>200</v>
      </c>
      <c r="AT69" s="177" t="s">
        <v>200</v>
      </c>
      <c r="AU69" s="177" t="s">
        <v>200</v>
      </c>
      <c r="AV69" s="177" t="s">
        <v>200</v>
      </c>
      <c r="AW69" s="177" t="s">
        <v>200</v>
      </c>
      <c r="AX69" s="177" t="s">
        <v>200</v>
      </c>
      <c r="AY69" s="177" t="s">
        <v>200</v>
      </c>
      <c r="AZ69" s="177" t="s">
        <v>200</v>
      </c>
      <c r="BA69" s="177" t="s">
        <v>200</v>
      </c>
      <c r="BB69" s="177" t="s">
        <v>200</v>
      </c>
      <c r="BC69" s="177" t="s">
        <v>200</v>
      </c>
      <c r="BD69" s="177" t="s">
        <v>200</v>
      </c>
      <c r="BE69" s="177" t="s">
        <v>200</v>
      </c>
      <c r="BF69" s="177" t="s">
        <v>200</v>
      </c>
      <c r="BG69" s="177" t="s">
        <v>200</v>
      </c>
      <c r="BH69" s="177" t="s">
        <v>200</v>
      </c>
      <c r="BI69" s="177" t="s">
        <v>200</v>
      </c>
      <c r="BJ69" s="187" t="s">
        <v>200</v>
      </c>
    </row>
    <row r="70" spans="2:62" x14ac:dyDescent="0.2">
      <c r="B70" s="175">
        <v>45918</v>
      </c>
      <c r="C70" s="176">
        <v>45918.459050069447</v>
      </c>
      <c r="D70" s="177" t="s">
        <v>267</v>
      </c>
      <c r="E70" s="178" t="s">
        <v>268</v>
      </c>
      <c r="F70" s="179" t="s">
        <v>269</v>
      </c>
      <c r="G70" s="180">
        <v>77.22</v>
      </c>
      <c r="H70" s="181">
        <v>68.31</v>
      </c>
      <c r="I70" s="181">
        <v>120</v>
      </c>
      <c r="J70" s="181">
        <v>77.489999999999995</v>
      </c>
      <c r="K70" s="182">
        <v>77.11</v>
      </c>
      <c r="L70" s="183">
        <v>3268000</v>
      </c>
      <c r="M70" s="184">
        <v>5201500</v>
      </c>
      <c r="N70" s="184">
        <v>97</v>
      </c>
      <c r="O70" s="184">
        <v>33</v>
      </c>
      <c r="P70" s="181">
        <v>4.04</v>
      </c>
      <c r="Q70" s="184">
        <v>53624</v>
      </c>
      <c r="R70" s="184">
        <v>216729</v>
      </c>
      <c r="S70" s="184">
        <v>273277</v>
      </c>
      <c r="T70" s="184">
        <v>155619</v>
      </c>
      <c r="U70" s="184">
        <v>256540</v>
      </c>
      <c r="V70" s="182">
        <v>1.59</v>
      </c>
      <c r="W70" s="183">
        <v>24</v>
      </c>
      <c r="X70" s="185">
        <v>21</v>
      </c>
      <c r="Y70" s="183">
        <v>252354960</v>
      </c>
      <c r="Z70" s="179" t="s">
        <v>270</v>
      </c>
      <c r="AA70" s="183">
        <v>2239380</v>
      </c>
      <c r="AB70" s="184">
        <v>3899610</v>
      </c>
      <c r="AC70" s="184">
        <v>6332040</v>
      </c>
      <c r="AD70" s="184">
        <v>810810</v>
      </c>
      <c r="AE70" s="184">
        <v>4169880</v>
      </c>
      <c r="AF70" s="177" t="s">
        <v>200</v>
      </c>
      <c r="AG70" s="184">
        <v>2200770</v>
      </c>
      <c r="AH70" s="184">
        <v>1930500</v>
      </c>
      <c r="AI70" s="184">
        <v>8571420</v>
      </c>
      <c r="AJ70" s="184">
        <v>19536660</v>
      </c>
      <c r="AK70" s="184">
        <v>3088800</v>
      </c>
      <c r="AL70" s="184">
        <v>11583000</v>
      </c>
      <c r="AM70" s="184">
        <v>888030</v>
      </c>
      <c r="AN70" s="184">
        <v>3320460</v>
      </c>
      <c r="AO70" s="184">
        <v>926640</v>
      </c>
      <c r="AP70" s="184">
        <v>19266390</v>
      </c>
      <c r="AQ70" s="184">
        <v>38610</v>
      </c>
      <c r="AR70" s="184">
        <v>19459440</v>
      </c>
      <c r="AS70" s="184">
        <v>28262520</v>
      </c>
      <c r="AT70" s="184">
        <v>0</v>
      </c>
      <c r="AU70" s="184">
        <v>617760</v>
      </c>
      <c r="AV70" s="184">
        <v>0</v>
      </c>
      <c r="AW70" s="184">
        <v>501930</v>
      </c>
      <c r="AX70" s="184">
        <v>48030840</v>
      </c>
      <c r="AY70" s="184">
        <v>386100</v>
      </c>
      <c r="AZ70" s="184">
        <v>18841680</v>
      </c>
      <c r="BA70" s="184">
        <v>6911190</v>
      </c>
      <c r="BB70" s="184">
        <v>1505790</v>
      </c>
      <c r="BC70" s="177" t="s">
        <v>200</v>
      </c>
      <c r="BD70" s="184">
        <v>4092660</v>
      </c>
      <c r="BE70" s="184">
        <v>3397680</v>
      </c>
      <c r="BF70" s="184">
        <v>1351350</v>
      </c>
      <c r="BG70" s="184">
        <v>27181440</v>
      </c>
      <c r="BH70" s="184">
        <v>1003860</v>
      </c>
      <c r="BI70" s="184">
        <v>2007720</v>
      </c>
      <c r="BJ70" s="187" t="s">
        <v>200</v>
      </c>
    </row>
    <row r="71" spans="2:62" x14ac:dyDescent="0.2">
      <c r="B71" s="175">
        <v>45917</v>
      </c>
      <c r="C71" s="176">
        <v>45917.458787013886</v>
      </c>
      <c r="D71" s="177" t="s">
        <v>273</v>
      </c>
      <c r="E71" s="178" t="s">
        <v>268</v>
      </c>
      <c r="F71" s="179" t="s">
        <v>269</v>
      </c>
      <c r="G71" s="180">
        <v>77.53</v>
      </c>
      <c r="H71" s="181">
        <v>64</v>
      </c>
      <c r="I71" s="181">
        <v>85</v>
      </c>
      <c r="J71" s="181">
        <v>77.22</v>
      </c>
      <c r="K71" s="182">
        <v>77.41</v>
      </c>
      <c r="L71" s="183">
        <v>2162500</v>
      </c>
      <c r="M71" s="184">
        <v>3324000</v>
      </c>
      <c r="N71" s="184">
        <v>85</v>
      </c>
      <c r="O71" s="184">
        <v>26</v>
      </c>
      <c r="P71" s="181">
        <v>3.54</v>
      </c>
      <c r="Q71" s="184">
        <v>39106</v>
      </c>
      <c r="R71" s="184">
        <v>138500</v>
      </c>
      <c r="S71" s="184">
        <v>198973</v>
      </c>
      <c r="T71" s="184">
        <v>135156</v>
      </c>
      <c r="U71" s="184">
        <v>230244</v>
      </c>
      <c r="V71" s="182">
        <v>1.54</v>
      </c>
      <c r="W71" s="183">
        <v>24</v>
      </c>
      <c r="X71" s="185">
        <v>16</v>
      </c>
      <c r="Y71" s="183">
        <v>167658625</v>
      </c>
      <c r="Z71" s="179" t="s">
        <v>274</v>
      </c>
      <c r="AA71" s="186" t="s">
        <v>200</v>
      </c>
      <c r="AB71" s="177" t="s">
        <v>200</v>
      </c>
      <c r="AC71" s="177" t="s">
        <v>200</v>
      </c>
      <c r="AD71" s="177" t="s">
        <v>200</v>
      </c>
      <c r="AE71" s="177" t="s">
        <v>200</v>
      </c>
      <c r="AF71" s="177" t="s">
        <v>200</v>
      </c>
      <c r="AG71" s="177" t="s">
        <v>200</v>
      </c>
      <c r="AH71" s="177" t="s">
        <v>200</v>
      </c>
      <c r="AI71" s="177" t="s">
        <v>200</v>
      </c>
      <c r="AJ71" s="177" t="s">
        <v>200</v>
      </c>
      <c r="AK71" s="177" t="s">
        <v>200</v>
      </c>
      <c r="AL71" s="177" t="s">
        <v>200</v>
      </c>
      <c r="AM71" s="177" t="s">
        <v>200</v>
      </c>
      <c r="AN71" s="177" t="s">
        <v>200</v>
      </c>
      <c r="AO71" s="177" t="s">
        <v>200</v>
      </c>
      <c r="AP71" s="177" t="s">
        <v>200</v>
      </c>
      <c r="AQ71" s="177" t="s">
        <v>200</v>
      </c>
      <c r="AR71" s="177" t="s">
        <v>200</v>
      </c>
      <c r="AS71" s="177" t="s">
        <v>200</v>
      </c>
      <c r="AT71" s="177" t="s">
        <v>200</v>
      </c>
      <c r="AU71" s="177" t="s">
        <v>200</v>
      </c>
      <c r="AV71" s="177" t="s">
        <v>200</v>
      </c>
      <c r="AW71" s="177" t="s">
        <v>200</v>
      </c>
      <c r="AX71" s="177" t="s">
        <v>200</v>
      </c>
      <c r="AY71" s="177" t="s">
        <v>200</v>
      </c>
      <c r="AZ71" s="177" t="s">
        <v>200</v>
      </c>
      <c r="BA71" s="177" t="s">
        <v>200</v>
      </c>
      <c r="BB71" s="177" t="s">
        <v>200</v>
      </c>
      <c r="BC71" s="184">
        <v>167658625</v>
      </c>
      <c r="BD71" s="177" t="s">
        <v>200</v>
      </c>
      <c r="BE71" s="177" t="s">
        <v>200</v>
      </c>
      <c r="BF71" s="177" t="s">
        <v>200</v>
      </c>
      <c r="BG71" s="177" t="s">
        <v>200</v>
      </c>
      <c r="BH71" s="177" t="s">
        <v>200</v>
      </c>
      <c r="BI71" s="177" t="s">
        <v>200</v>
      </c>
      <c r="BJ71" s="187" t="s">
        <v>200</v>
      </c>
    </row>
    <row r="72" spans="2:62" x14ac:dyDescent="0.2">
      <c r="B72" s="175">
        <v>45916</v>
      </c>
      <c r="C72" s="176">
        <v>45916.458633472219</v>
      </c>
      <c r="D72" s="177" t="s">
        <v>267</v>
      </c>
      <c r="E72" s="178" t="s">
        <v>268</v>
      </c>
      <c r="F72" s="179" t="s">
        <v>269</v>
      </c>
      <c r="G72" s="180">
        <v>76.17</v>
      </c>
      <c r="H72" s="181">
        <v>64</v>
      </c>
      <c r="I72" s="181">
        <v>120</v>
      </c>
      <c r="J72" s="181">
        <v>77.17</v>
      </c>
      <c r="K72" s="182">
        <v>75.989999999999995</v>
      </c>
      <c r="L72" s="183">
        <v>3268000</v>
      </c>
      <c r="M72" s="184">
        <v>5478000</v>
      </c>
      <c r="N72" s="184">
        <v>108</v>
      </c>
      <c r="O72" s="184">
        <v>29</v>
      </c>
      <c r="P72" s="181">
        <v>3.72</v>
      </c>
      <c r="Q72" s="184">
        <v>50722</v>
      </c>
      <c r="R72" s="184">
        <v>188897</v>
      </c>
      <c r="S72" s="184">
        <v>231698</v>
      </c>
      <c r="T72" s="184">
        <v>172000</v>
      </c>
      <c r="U72" s="184">
        <v>220045</v>
      </c>
      <c r="V72" s="182">
        <v>1.68</v>
      </c>
      <c r="W72" s="183">
        <v>29</v>
      </c>
      <c r="X72" s="185">
        <v>19</v>
      </c>
      <c r="Y72" s="183">
        <v>248923560</v>
      </c>
      <c r="Z72" s="179" t="s">
        <v>270</v>
      </c>
      <c r="AA72" s="183">
        <v>2208930</v>
      </c>
      <c r="AB72" s="184">
        <v>3846585</v>
      </c>
      <c r="AC72" s="184">
        <v>6245940</v>
      </c>
      <c r="AD72" s="184">
        <v>799785</v>
      </c>
      <c r="AE72" s="184">
        <v>4113180</v>
      </c>
      <c r="AF72" s="177" t="s">
        <v>200</v>
      </c>
      <c r="AG72" s="184">
        <v>2170845</v>
      </c>
      <c r="AH72" s="184">
        <v>1904250</v>
      </c>
      <c r="AI72" s="184">
        <v>8454870</v>
      </c>
      <c r="AJ72" s="184">
        <v>19271010</v>
      </c>
      <c r="AK72" s="184">
        <v>3046800</v>
      </c>
      <c r="AL72" s="184">
        <v>11425500</v>
      </c>
      <c r="AM72" s="184">
        <v>875955</v>
      </c>
      <c r="AN72" s="184">
        <v>3275310</v>
      </c>
      <c r="AO72" s="184">
        <v>914040</v>
      </c>
      <c r="AP72" s="184">
        <v>19004415</v>
      </c>
      <c r="AQ72" s="184">
        <v>38085</v>
      </c>
      <c r="AR72" s="184">
        <v>19194840</v>
      </c>
      <c r="AS72" s="184">
        <v>27878220</v>
      </c>
      <c r="AT72" s="184">
        <v>0</v>
      </c>
      <c r="AU72" s="184">
        <v>609360</v>
      </c>
      <c r="AV72" s="184">
        <v>0</v>
      </c>
      <c r="AW72" s="184">
        <v>495105</v>
      </c>
      <c r="AX72" s="184">
        <v>47377740</v>
      </c>
      <c r="AY72" s="184">
        <v>380850</v>
      </c>
      <c r="AZ72" s="184">
        <v>18585480</v>
      </c>
      <c r="BA72" s="184">
        <v>6817215</v>
      </c>
      <c r="BB72" s="184">
        <v>1485315</v>
      </c>
      <c r="BC72" s="177" t="s">
        <v>200</v>
      </c>
      <c r="BD72" s="184">
        <v>4037010</v>
      </c>
      <c r="BE72" s="184">
        <v>3351480</v>
      </c>
      <c r="BF72" s="184">
        <v>1332975</v>
      </c>
      <c r="BG72" s="184">
        <v>26811840</v>
      </c>
      <c r="BH72" s="184">
        <v>990210</v>
      </c>
      <c r="BI72" s="184">
        <v>1980420</v>
      </c>
      <c r="BJ72" s="187" t="s">
        <v>200</v>
      </c>
    </row>
    <row r="73" spans="2:62" x14ac:dyDescent="0.2">
      <c r="B73" s="175">
        <v>45915</v>
      </c>
      <c r="C73" s="176">
        <v>45915.458606122687</v>
      </c>
      <c r="D73" s="177" t="s">
        <v>267</v>
      </c>
      <c r="E73" s="178" t="s">
        <v>268</v>
      </c>
      <c r="F73" s="179" t="s">
        <v>269</v>
      </c>
      <c r="G73" s="180">
        <v>75.02</v>
      </c>
      <c r="H73" s="181">
        <v>64</v>
      </c>
      <c r="I73" s="181">
        <v>80</v>
      </c>
      <c r="J73" s="181">
        <v>74.83</v>
      </c>
      <c r="K73" s="182">
        <v>74.84</v>
      </c>
      <c r="L73" s="183">
        <v>3268000</v>
      </c>
      <c r="M73" s="184">
        <v>5812000</v>
      </c>
      <c r="N73" s="184">
        <v>111</v>
      </c>
      <c r="O73" s="184">
        <v>30</v>
      </c>
      <c r="P73" s="181">
        <v>4.4400000000000004</v>
      </c>
      <c r="Q73" s="184">
        <v>52360</v>
      </c>
      <c r="R73" s="184">
        <v>232480</v>
      </c>
      <c r="S73" s="184">
        <v>290578</v>
      </c>
      <c r="T73" s="184">
        <v>204250</v>
      </c>
      <c r="U73" s="184">
        <v>288239</v>
      </c>
      <c r="V73" s="182">
        <v>1.78</v>
      </c>
      <c r="W73" s="183">
        <v>25</v>
      </c>
      <c r="X73" s="185">
        <v>16</v>
      </c>
      <c r="Y73" s="183">
        <v>245165360</v>
      </c>
      <c r="Z73" s="179" t="s">
        <v>270</v>
      </c>
      <c r="AA73" s="183">
        <v>2175580</v>
      </c>
      <c r="AB73" s="184">
        <v>3788510</v>
      </c>
      <c r="AC73" s="184">
        <v>6151640</v>
      </c>
      <c r="AD73" s="184">
        <v>787710</v>
      </c>
      <c r="AE73" s="184">
        <v>4051080</v>
      </c>
      <c r="AF73" s="177" t="s">
        <v>200</v>
      </c>
      <c r="AG73" s="184">
        <v>2138070</v>
      </c>
      <c r="AH73" s="184">
        <v>1875500</v>
      </c>
      <c r="AI73" s="184">
        <v>8327220</v>
      </c>
      <c r="AJ73" s="184">
        <v>18980060</v>
      </c>
      <c r="AK73" s="184">
        <v>3000800</v>
      </c>
      <c r="AL73" s="184">
        <v>11253000</v>
      </c>
      <c r="AM73" s="184">
        <v>862730</v>
      </c>
      <c r="AN73" s="184">
        <v>3225860</v>
      </c>
      <c r="AO73" s="184">
        <v>900240</v>
      </c>
      <c r="AP73" s="184">
        <v>18717490</v>
      </c>
      <c r="AQ73" s="184">
        <v>37510</v>
      </c>
      <c r="AR73" s="184">
        <v>18905040</v>
      </c>
      <c r="AS73" s="184">
        <v>27457320</v>
      </c>
      <c r="AT73" s="184">
        <v>0</v>
      </c>
      <c r="AU73" s="184">
        <v>600160</v>
      </c>
      <c r="AV73" s="184">
        <v>0</v>
      </c>
      <c r="AW73" s="184">
        <v>487630</v>
      </c>
      <c r="AX73" s="184">
        <v>46662440</v>
      </c>
      <c r="AY73" s="184">
        <v>375100</v>
      </c>
      <c r="AZ73" s="184">
        <v>18304880</v>
      </c>
      <c r="BA73" s="184">
        <v>6714290</v>
      </c>
      <c r="BB73" s="184">
        <v>1462890</v>
      </c>
      <c r="BC73" s="177" t="s">
        <v>200</v>
      </c>
      <c r="BD73" s="184">
        <v>3976060</v>
      </c>
      <c r="BE73" s="184">
        <v>3300880</v>
      </c>
      <c r="BF73" s="184">
        <v>1312850</v>
      </c>
      <c r="BG73" s="184">
        <v>26407040</v>
      </c>
      <c r="BH73" s="184">
        <v>975260</v>
      </c>
      <c r="BI73" s="184">
        <v>1950520</v>
      </c>
      <c r="BJ73" s="187" t="s">
        <v>200</v>
      </c>
    </row>
    <row r="74" spans="2:62" x14ac:dyDescent="0.2">
      <c r="B74" s="175">
        <v>45912</v>
      </c>
      <c r="C74" s="176">
        <v>45912.458765949072</v>
      </c>
      <c r="D74" s="177" t="s">
        <v>271</v>
      </c>
      <c r="E74" s="178" t="s">
        <v>268</v>
      </c>
      <c r="F74" s="179" t="s">
        <v>269</v>
      </c>
      <c r="G74" s="180">
        <v>75.02</v>
      </c>
      <c r="H74" s="181">
        <v>73.010000000000005</v>
      </c>
      <c r="I74" s="181">
        <v>80</v>
      </c>
      <c r="J74" s="181">
        <v>74.88</v>
      </c>
      <c r="K74" s="182">
        <v>74.8</v>
      </c>
      <c r="L74" s="183">
        <v>1691000</v>
      </c>
      <c r="M74" s="184">
        <v>3524000</v>
      </c>
      <c r="N74" s="184">
        <v>77</v>
      </c>
      <c r="O74" s="184">
        <v>20</v>
      </c>
      <c r="P74" s="181">
        <v>3.21</v>
      </c>
      <c r="Q74" s="184">
        <v>45766</v>
      </c>
      <c r="R74" s="184">
        <v>146833</v>
      </c>
      <c r="S74" s="184">
        <v>163898</v>
      </c>
      <c r="T74" s="184">
        <v>112733</v>
      </c>
      <c r="U74" s="184">
        <v>148524</v>
      </c>
      <c r="V74" s="182">
        <v>2.08</v>
      </c>
      <c r="W74" s="183">
        <v>24</v>
      </c>
      <c r="X74" s="185">
        <v>15</v>
      </c>
      <c r="Y74" s="183">
        <v>126858820</v>
      </c>
      <c r="Z74" s="179" t="s">
        <v>272</v>
      </c>
      <c r="AA74" s="186" t="s">
        <v>200</v>
      </c>
      <c r="AB74" s="177" t="s">
        <v>200</v>
      </c>
      <c r="AC74" s="177" t="s">
        <v>200</v>
      </c>
      <c r="AD74" s="177" t="s">
        <v>200</v>
      </c>
      <c r="AE74" s="177" t="s">
        <v>200</v>
      </c>
      <c r="AF74" s="184">
        <v>126858820</v>
      </c>
      <c r="AG74" s="177" t="s">
        <v>200</v>
      </c>
      <c r="AH74" s="177" t="s">
        <v>200</v>
      </c>
      <c r="AI74" s="177" t="s">
        <v>200</v>
      </c>
      <c r="AJ74" s="177" t="s">
        <v>200</v>
      </c>
      <c r="AK74" s="177" t="s">
        <v>200</v>
      </c>
      <c r="AL74" s="177" t="s">
        <v>200</v>
      </c>
      <c r="AM74" s="177" t="s">
        <v>200</v>
      </c>
      <c r="AN74" s="177" t="s">
        <v>200</v>
      </c>
      <c r="AO74" s="177" t="s">
        <v>200</v>
      </c>
      <c r="AP74" s="177" t="s">
        <v>200</v>
      </c>
      <c r="AQ74" s="177" t="s">
        <v>200</v>
      </c>
      <c r="AR74" s="177" t="s">
        <v>200</v>
      </c>
      <c r="AS74" s="177" t="s">
        <v>200</v>
      </c>
      <c r="AT74" s="177" t="s">
        <v>200</v>
      </c>
      <c r="AU74" s="177" t="s">
        <v>200</v>
      </c>
      <c r="AV74" s="177" t="s">
        <v>200</v>
      </c>
      <c r="AW74" s="177" t="s">
        <v>200</v>
      </c>
      <c r="AX74" s="177" t="s">
        <v>200</v>
      </c>
      <c r="AY74" s="177" t="s">
        <v>200</v>
      </c>
      <c r="AZ74" s="177" t="s">
        <v>200</v>
      </c>
      <c r="BA74" s="177" t="s">
        <v>200</v>
      </c>
      <c r="BB74" s="177" t="s">
        <v>200</v>
      </c>
      <c r="BC74" s="177" t="s">
        <v>200</v>
      </c>
      <c r="BD74" s="177" t="s">
        <v>200</v>
      </c>
      <c r="BE74" s="177" t="s">
        <v>200</v>
      </c>
      <c r="BF74" s="177" t="s">
        <v>200</v>
      </c>
      <c r="BG74" s="177" t="s">
        <v>200</v>
      </c>
      <c r="BH74" s="177" t="s">
        <v>200</v>
      </c>
      <c r="BI74" s="177" t="s">
        <v>200</v>
      </c>
      <c r="BJ74" s="187" t="s">
        <v>200</v>
      </c>
    </row>
    <row r="75" spans="2:62" x14ac:dyDescent="0.2">
      <c r="B75" s="175">
        <v>45911</v>
      </c>
      <c r="C75" s="176">
        <v>45911.458796331019</v>
      </c>
      <c r="D75" s="177" t="s">
        <v>267</v>
      </c>
      <c r="E75" s="178" t="s">
        <v>268</v>
      </c>
      <c r="F75" s="179" t="s">
        <v>269</v>
      </c>
      <c r="G75" s="180">
        <v>76.069999999999993</v>
      </c>
      <c r="H75" s="181">
        <v>74.010000000000005</v>
      </c>
      <c r="I75" s="181">
        <v>87.6</v>
      </c>
      <c r="J75" s="181">
        <v>76.19</v>
      </c>
      <c r="K75" s="182">
        <v>76</v>
      </c>
      <c r="L75" s="183">
        <v>3268000</v>
      </c>
      <c r="M75" s="184">
        <v>4567000</v>
      </c>
      <c r="N75" s="184">
        <v>87</v>
      </c>
      <c r="O75" s="184">
        <v>32</v>
      </c>
      <c r="P75" s="181">
        <v>3.35</v>
      </c>
      <c r="Q75" s="184">
        <v>52494</v>
      </c>
      <c r="R75" s="184">
        <v>175654</v>
      </c>
      <c r="S75" s="184">
        <v>232692</v>
      </c>
      <c r="T75" s="184">
        <v>148545</v>
      </c>
      <c r="U75" s="184">
        <v>228606</v>
      </c>
      <c r="V75" s="182">
        <v>1.4</v>
      </c>
      <c r="W75" s="183">
        <v>26</v>
      </c>
      <c r="X75" s="185">
        <v>22</v>
      </c>
      <c r="Y75" s="183">
        <v>248596760</v>
      </c>
      <c r="Z75" s="179" t="s">
        <v>270</v>
      </c>
      <c r="AA75" s="183">
        <v>2206030</v>
      </c>
      <c r="AB75" s="184">
        <v>3841535</v>
      </c>
      <c r="AC75" s="184">
        <v>6237740</v>
      </c>
      <c r="AD75" s="184">
        <v>798735</v>
      </c>
      <c r="AE75" s="184">
        <v>4107780</v>
      </c>
      <c r="AF75" s="177" t="s">
        <v>200</v>
      </c>
      <c r="AG75" s="184">
        <v>2167995</v>
      </c>
      <c r="AH75" s="184">
        <v>1901750</v>
      </c>
      <c r="AI75" s="184">
        <v>8443770</v>
      </c>
      <c r="AJ75" s="184">
        <v>19245710</v>
      </c>
      <c r="AK75" s="184">
        <v>3042800</v>
      </c>
      <c r="AL75" s="184">
        <v>11410500</v>
      </c>
      <c r="AM75" s="184">
        <v>874805</v>
      </c>
      <c r="AN75" s="184">
        <v>3271010</v>
      </c>
      <c r="AO75" s="184">
        <v>912840</v>
      </c>
      <c r="AP75" s="184">
        <v>18979465</v>
      </c>
      <c r="AQ75" s="184">
        <v>38035</v>
      </c>
      <c r="AR75" s="184">
        <v>19169640</v>
      </c>
      <c r="AS75" s="184">
        <v>27841620</v>
      </c>
      <c r="AT75" s="184">
        <v>0</v>
      </c>
      <c r="AU75" s="184">
        <v>608560</v>
      </c>
      <c r="AV75" s="184">
        <v>0</v>
      </c>
      <c r="AW75" s="184">
        <v>494455</v>
      </c>
      <c r="AX75" s="184">
        <v>47315540</v>
      </c>
      <c r="AY75" s="184">
        <v>380350</v>
      </c>
      <c r="AZ75" s="184">
        <v>18561080</v>
      </c>
      <c r="BA75" s="184">
        <v>6808265</v>
      </c>
      <c r="BB75" s="184">
        <v>1483365</v>
      </c>
      <c r="BC75" s="177" t="s">
        <v>200</v>
      </c>
      <c r="BD75" s="184">
        <v>4031710</v>
      </c>
      <c r="BE75" s="184">
        <v>3347080</v>
      </c>
      <c r="BF75" s="184">
        <v>1331225</v>
      </c>
      <c r="BG75" s="184">
        <v>26776640</v>
      </c>
      <c r="BH75" s="184">
        <v>988910</v>
      </c>
      <c r="BI75" s="184">
        <v>1977820</v>
      </c>
      <c r="BJ75" s="187" t="s">
        <v>200</v>
      </c>
    </row>
    <row r="76" spans="2:62" x14ac:dyDescent="0.2">
      <c r="B76" s="175">
        <v>45909</v>
      </c>
      <c r="C76" s="176">
        <v>45909.458659479169</v>
      </c>
      <c r="D76" s="177" t="s">
        <v>267</v>
      </c>
      <c r="E76" s="178" t="s">
        <v>268</v>
      </c>
      <c r="F76" s="179" t="s">
        <v>269</v>
      </c>
      <c r="G76" s="180">
        <v>76.400000000000006</v>
      </c>
      <c r="H76" s="181">
        <v>68</v>
      </c>
      <c r="I76" s="181">
        <v>120</v>
      </c>
      <c r="J76" s="181">
        <v>76.75</v>
      </c>
      <c r="K76" s="182">
        <v>76.209999999999994</v>
      </c>
      <c r="L76" s="183">
        <v>3268000</v>
      </c>
      <c r="M76" s="184">
        <v>5111000</v>
      </c>
      <c r="N76" s="184">
        <v>94</v>
      </c>
      <c r="O76" s="184">
        <v>35</v>
      </c>
      <c r="P76" s="181">
        <v>3.48</v>
      </c>
      <c r="Q76" s="184">
        <v>54372</v>
      </c>
      <c r="R76" s="184">
        <v>189296</v>
      </c>
      <c r="S76" s="184">
        <v>213733</v>
      </c>
      <c r="T76" s="184">
        <v>172000</v>
      </c>
      <c r="U76" s="184">
        <v>172270</v>
      </c>
      <c r="V76" s="182">
        <v>1.56</v>
      </c>
      <c r="W76" s="183">
        <v>27</v>
      </c>
      <c r="X76" s="185">
        <v>19</v>
      </c>
      <c r="Y76" s="183">
        <v>249675200</v>
      </c>
      <c r="Z76" s="179" t="s">
        <v>270</v>
      </c>
      <c r="AA76" s="183">
        <v>2215600</v>
      </c>
      <c r="AB76" s="184">
        <v>3858200</v>
      </c>
      <c r="AC76" s="184">
        <v>6264800</v>
      </c>
      <c r="AD76" s="184">
        <v>802200</v>
      </c>
      <c r="AE76" s="184">
        <v>4125600</v>
      </c>
      <c r="AF76" s="177" t="s">
        <v>200</v>
      </c>
      <c r="AG76" s="184">
        <v>2177400</v>
      </c>
      <c r="AH76" s="184">
        <v>1910000</v>
      </c>
      <c r="AI76" s="184">
        <v>8480400</v>
      </c>
      <c r="AJ76" s="184">
        <v>19329200</v>
      </c>
      <c r="AK76" s="184">
        <v>3056000</v>
      </c>
      <c r="AL76" s="184">
        <v>11460000</v>
      </c>
      <c r="AM76" s="184">
        <v>878600</v>
      </c>
      <c r="AN76" s="184">
        <v>3285200</v>
      </c>
      <c r="AO76" s="184">
        <v>916800</v>
      </c>
      <c r="AP76" s="184">
        <v>19061800</v>
      </c>
      <c r="AQ76" s="184">
        <v>38200</v>
      </c>
      <c r="AR76" s="184">
        <v>19252800</v>
      </c>
      <c r="AS76" s="184">
        <v>27962400</v>
      </c>
      <c r="AT76" s="184">
        <v>0</v>
      </c>
      <c r="AU76" s="184">
        <v>611200</v>
      </c>
      <c r="AV76" s="184">
        <v>0</v>
      </c>
      <c r="AW76" s="184">
        <v>496600</v>
      </c>
      <c r="AX76" s="184">
        <v>47520800</v>
      </c>
      <c r="AY76" s="184">
        <v>382000</v>
      </c>
      <c r="AZ76" s="184">
        <v>18641600</v>
      </c>
      <c r="BA76" s="184">
        <v>6837800</v>
      </c>
      <c r="BB76" s="184">
        <v>1489800</v>
      </c>
      <c r="BC76" s="177" t="s">
        <v>200</v>
      </c>
      <c r="BD76" s="184">
        <v>4049200</v>
      </c>
      <c r="BE76" s="184">
        <v>3361600</v>
      </c>
      <c r="BF76" s="184">
        <v>1337000</v>
      </c>
      <c r="BG76" s="184">
        <v>26892800</v>
      </c>
      <c r="BH76" s="184">
        <v>993200</v>
      </c>
      <c r="BI76" s="184">
        <v>1986400</v>
      </c>
      <c r="BJ76" s="187" t="s">
        <v>200</v>
      </c>
    </row>
    <row r="77" spans="2:62" x14ac:dyDescent="0.2">
      <c r="B77" s="175">
        <v>45908</v>
      </c>
      <c r="C77" s="176">
        <v>45908.458732060186</v>
      </c>
      <c r="D77" s="177" t="s">
        <v>267</v>
      </c>
      <c r="E77" s="178" t="s">
        <v>268</v>
      </c>
      <c r="F77" s="179" t="s">
        <v>269</v>
      </c>
      <c r="G77" s="180">
        <v>75.209999999999994</v>
      </c>
      <c r="H77" s="181">
        <v>68</v>
      </c>
      <c r="I77" s="181">
        <v>80</v>
      </c>
      <c r="J77" s="181">
        <v>75</v>
      </c>
      <c r="K77" s="182">
        <v>74.959999999999994</v>
      </c>
      <c r="L77" s="183">
        <v>3268000</v>
      </c>
      <c r="M77" s="184">
        <v>5514500</v>
      </c>
      <c r="N77" s="184">
        <v>90</v>
      </c>
      <c r="O77" s="184">
        <v>27</v>
      </c>
      <c r="P77" s="181">
        <v>3.91</v>
      </c>
      <c r="Q77" s="184">
        <v>61272</v>
      </c>
      <c r="R77" s="184">
        <v>239761</v>
      </c>
      <c r="S77" s="184">
        <v>241789</v>
      </c>
      <c r="T77" s="184">
        <v>233429</v>
      </c>
      <c r="U77" s="184">
        <v>222874</v>
      </c>
      <c r="V77" s="182">
        <v>1.69</v>
      </c>
      <c r="W77" s="183">
        <v>23</v>
      </c>
      <c r="X77" s="185">
        <v>14</v>
      </c>
      <c r="Y77" s="183">
        <v>245786280</v>
      </c>
      <c r="Z77" s="179" t="s">
        <v>270</v>
      </c>
      <c r="AA77" s="183">
        <v>2181090</v>
      </c>
      <c r="AB77" s="184">
        <v>3798105</v>
      </c>
      <c r="AC77" s="184">
        <v>6167220</v>
      </c>
      <c r="AD77" s="184">
        <v>789705</v>
      </c>
      <c r="AE77" s="184">
        <v>4061340</v>
      </c>
      <c r="AF77" s="177" t="s">
        <v>200</v>
      </c>
      <c r="AG77" s="184">
        <v>2143485</v>
      </c>
      <c r="AH77" s="184">
        <v>1880250</v>
      </c>
      <c r="AI77" s="184">
        <v>8348310</v>
      </c>
      <c r="AJ77" s="184">
        <v>19028130</v>
      </c>
      <c r="AK77" s="184">
        <v>3008400</v>
      </c>
      <c r="AL77" s="184">
        <v>11281500</v>
      </c>
      <c r="AM77" s="184">
        <v>864915</v>
      </c>
      <c r="AN77" s="184">
        <v>3234030</v>
      </c>
      <c r="AO77" s="184">
        <v>902520</v>
      </c>
      <c r="AP77" s="184">
        <v>18764895</v>
      </c>
      <c r="AQ77" s="184">
        <v>37605</v>
      </c>
      <c r="AR77" s="184">
        <v>18952920</v>
      </c>
      <c r="AS77" s="184">
        <v>27526860</v>
      </c>
      <c r="AT77" s="184">
        <v>0</v>
      </c>
      <c r="AU77" s="184">
        <v>601680</v>
      </c>
      <c r="AV77" s="184">
        <v>0</v>
      </c>
      <c r="AW77" s="184">
        <v>488865</v>
      </c>
      <c r="AX77" s="184">
        <v>46780620</v>
      </c>
      <c r="AY77" s="184">
        <v>376050</v>
      </c>
      <c r="AZ77" s="184">
        <v>18351240</v>
      </c>
      <c r="BA77" s="184">
        <v>6731295</v>
      </c>
      <c r="BB77" s="184">
        <v>1466595</v>
      </c>
      <c r="BC77" s="177" t="s">
        <v>200</v>
      </c>
      <c r="BD77" s="184">
        <v>3986130</v>
      </c>
      <c r="BE77" s="184">
        <v>3309240</v>
      </c>
      <c r="BF77" s="184">
        <v>1316175</v>
      </c>
      <c r="BG77" s="184">
        <v>26473920</v>
      </c>
      <c r="BH77" s="184">
        <v>977730</v>
      </c>
      <c r="BI77" s="184">
        <v>1955460</v>
      </c>
      <c r="BJ77" s="187" t="s">
        <v>200</v>
      </c>
    </row>
    <row r="78" spans="2:62" x14ac:dyDescent="0.2">
      <c r="B78" s="175">
        <v>45905</v>
      </c>
      <c r="C78" s="176">
        <v>45905.458785810188</v>
      </c>
      <c r="D78" s="177" t="s">
        <v>271</v>
      </c>
      <c r="E78" s="178" t="s">
        <v>268</v>
      </c>
      <c r="F78" s="179" t="s">
        <v>269</v>
      </c>
      <c r="G78" s="180">
        <v>75.44</v>
      </c>
      <c r="H78" s="181">
        <v>73.2</v>
      </c>
      <c r="I78" s="181">
        <v>120</v>
      </c>
      <c r="J78" s="181">
        <v>75.97</v>
      </c>
      <c r="K78" s="182">
        <v>75.31</v>
      </c>
      <c r="L78" s="183">
        <v>1691000</v>
      </c>
      <c r="M78" s="184">
        <v>2964000</v>
      </c>
      <c r="N78" s="184">
        <v>74</v>
      </c>
      <c r="O78" s="184">
        <v>29</v>
      </c>
      <c r="P78" s="181">
        <v>3.22</v>
      </c>
      <c r="Q78" s="184">
        <v>40054</v>
      </c>
      <c r="R78" s="184">
        <v>128870</v>
      </c>
      <c r="S78" s="184">
        <v>133099</v>
      </c>
      <c r="T78" s="184">
        <v>93944</v>
      </c>
      <c r="U78" s="184">
        <v>117569</v>
      </c>
      <c r="V78" s="182">
        <v>1.75</v>
      </c>
      <c r="W78" s="183">
        <v>23</v>
      </c>
      <c r="X78" s="185">
        <v>18</v>
      </c>
      <c r="Y78" s="183">
        <v>127569040</v>
      </c>
      <c r="Z78" s="179" t="s">
        <v>272</v>
      </c>
      <c r="AA78" s="186" t="s">
        <v>200</v>
      </c>
      <c r="AB78" s="177" t="s">
        <v>200</v>
      </c>
      <c r="AC78" s="177" t="s">
        <v>200</v>
      </c>
      <c r="AD78" s="177" t="s">
        <v>200</v>
      </c>
      <c r="AE78" s="177" t="s">
        <v>200</v>
      </c>
      <c r="AF78" s="184">
        <v>127569040</v>
      </c>
      <c r="AG78" s="177" t="s">
        <v>200</v>
      </c>
      <c r="AH78" s="177" t="s">
        <v>200</v>
      </c>
      <c r="AI78" s="177" t="s">
        <v>200</v>
      </c>
      <c r="AJ78" s="177" t="s">
        <v>200</v>
      </c>
      <c r="AK78" s="177" t="s">
        <v>200</v>
      </c>
      <c r="AL78" s="177" t="s">
        <v>200</v>
      </c>
      <c r="AM78" s="177" t="s">
        <v>200</v>
      </c>
      <c r="AN78" s="177" t="s">
        <v>200</v>
      </c>
      <c r="AO78" s="177" t="s">
        <v>200</v>
      </c>
      <c r="AP78" s="177" t="s">
        <v>200</v>
      </c>
      <c r="AQ78" s="177" t="s">
        <v>200</v>
      </c>
      <c r="AR78" s="177" t="s">
        <v>200</v>
      </c>
      <c r="AS78" s="177" t="s">
        <v>200</v>
      </c>
      <c r="AT78" s="177" t="s">
        <v>200</v>
      </c>
      <c r="AU78" s="177" t="s">
        <v>200</v>
      </c>
      <c r="AV78" s="177" t="s">
        <v>200</v>
      </c>
      <c r="AW78" s="177" t="s">
        <v>200</v>
      </c>
      <c r="AX78" s="177" t="s">
        <v>200</v>
      </c>
      <c r="AY78" s="177" t="s">
        <v>200</v>
      </c>
      <c r="AZ78" s="177" t="s">
        <v>200</v>
      </c>
      <c r="BA78" s="177" t="s">
        <v>200</v>
      </c>
      <c r="BB78" s="177" t="s">
        <v>200</v>
      </c>
      <c r="BC78" s="177" t="s">
        <v>200</v>
      </c>
      <c r="BD78" s="177" t="s">
        <v>200</v>
      </c>
      <c r="BE78" s="177" t="s">
        <v>200</v>
      </c>
      <c r="BF78" s="177" t="s">
        <v>200</v>
      </c>
      <c r="BG78" s="177" t="s">
        <v>200</v>
      </c>
      <c r="BH78" s="177" t="s">
        <v>200</v>
      </c>
      <c r="BI78" s="177" t="s">
        <v>200</v>
      </c>
      <c r="BJ78" s="187" t="s">
        <v>200</v>
      </c>
    </row>
    <row r="79" spans="2:62" x14ac:dyDescent="0.2">
      <c r="B79" s="175">
        <v>45904</v>
      </c>
      <c r="C79" s="176">
        <v>45904.458619513891</v>
      </c>
      <c r="D79" s="177" t="s">
        <v>267</v>
      </c>
      <c r="E79" s="178" t="s">
        <v>268</v>
      </c>
      <c r="F79" s="179" t="s">
        <v>269</v>
      </c>
      <c r="G79" s="180">
        <v>74.38</v>
      </c>
      <c r="H79" s="181">
        <v>63</v>
      </c>
      <c r="I79" s="181">
        <v>80</v>
      </c>
      <c r="J79" s="181">
        <v>74.34</v>
      </c>
      <c r="K79" s="182">
        <v>74.33</v>
      </c>
      <c r="L79" s="183">
        <v>3268000</v>
      </c>
      <c r="M79" s="184">
        <v>4341500</v>
      </c>
      <c r="N79" s="184">
        <v>83</v>
      </c>
      <c r="O79" s="184">
        <v>38</v>
      </c>
      <c r="P79" s="181">
        <v>3.95</v>
      </c>
      <c r="Q79" s="184">
        <v>52307</v>
      </c>
      <c r="R79" s="184">
        <v>206738</v>
      </c>
      <c r="S79" s="184">
        <v>236219</v>
      </c>
      <c r="T79" s="184">
        <v>204250</v>
      </c>
      <c r="U79" s="184">
        <v>240592</v>
      </c>
      <c r="V79" s="182">
        <v>1.33</v>
      </c>
      <c r="W79" s="183">
        <v>21</v>
      </c>
      <c r="X79" s="185">
        <v>16</v>
      </c>
      <c r="Y79" s="183">
        <v>243073840</v>
      </c>
      <c r="Z79" s="179" t="s">
        <v>270</v>
      </c>
      <c r="AA79" s="183">
        <v>2157020</v>
      </c>
      <c r="AB79" s="184">
        <v>3756190</v>
      </c>
      <c r="AC79" s="184">
        <v>6099160</v>
      </c>
      <c r="AD79" s="184">
        <v>780990</v>
      </c>
      <c r="AE79" s="184">
        <v>4016520</v>
      </c>
      <c r="AF79" s="177" t="s">
        <v>200</v>
      </c>
      <c r="AG79" s="184">
        <v>2119830</v>
      </c>
      <c r="AH79" s="184">
        <v>1859500</v>
      </c>
      <c r="AI79" s="184">
        <v>8256180</v>
      </c>
      <c r="AJ79" s="184">
        <v>18818140</v>
      </c>
      <c r="AK79" s="184">
        <v>2975200</v>
      </c>
      <c r="AL79" s="184">
        <v>11157000</v>
      </c>
      <c r="AM79" s="184">
        <v>855370</v>
      </c>
      <c r="AN79" s="184">
        <v>3198340</v>
      </c>
      <c r="AO79" s="184">
        <v>892560</v>
      </c>
      <c r="AP79" s="184">
        <v>18557810</v>
      </c>
      <c r="AQ79" s="184">
        <v>37190</v>
      </c>
      <c r="AR79" s="184">
        <v>18743760</v>
      </c>
      <c r="AS79" s="184">
        <v>27223080</v>
      </c>
      <c r="AT79" s="184">
        <v>0</v>
      </c>
      <c r="AU79" s="184">
        <v>595040</v>
      </c>
      <c r="AV79" s="184">
        <v>0</v>
      </c>
      <c r="AW79" s="184">
        <v>483470</v>
      </c>
      <c r="AX79" s="184">
        <v>46264360</v>
      </c>
      <c r="AY79" s="184">
        <v>371900</v>
      </c>
      <c r="AZ79" s="184">
        <v>18148720</v>
      </c>
      <c r="BA79" s="184">
        <v>6657010</v>
      </c>
      <c r="BB79" s="184">
        <v>1450410</v>
      </c>
      <c r="BC79" s="177" t="s">
        <v>200</v>
      </c>
      <c r="BD79" s="184">
        <v>3942140</v>
      </c>
      <c r="BE79" s="184">
        <v>3272720</v>
      </c>
      <c r="BF79" s="184">
        <v>1301650</v>
      </c>
      <c r="BG79" s="184">
        <v>26181760</v>
      </c>
      <c r="BH79" s="184">
        <v>966940</v>
      </c>
      <c r="BI79" s="184">
        <v>1933880</v>
      </c>
      <c r="BJ79" s="187" t="s">
        <v>200</v>
      </c>
    </row>
    <row r="80" spans="2:62" x14ac:dyDescent="0.2">
      <c r="B80" s="175">
        <v>45903</v>
      </c>
      <c r="C80" s="176">
        <v>45903.458931828703</v>
      </c>
      <c r="D80" s="177" t="s">
        <v>273</v>
      </c>
      <c r="E80" s="178" t="s">
        <v>268</v>
      </c>
      <c r="F80" s="179" t="s">
        <v>269</v>
      </c>
      <c r="G80" s="180">
        <v>73.27</v>
      </c>
      <c r="H80" s="181">
        <v>64</v>
      </c>
      <c r="I80" s="181">
        <v>80</v>
      </c>
      <c r="J80" s="181">
        <v>73.239999999999995</v>
      </c>
      <c r="K80" s="182">
        <v>73.17</v>
      </c>
      <c r="L80" s="183">
        <v>2162500</v>
      </c>
      <c r="M80" s="184">
        <v>3118500</v>
      </c>
      <c r="N80" s="184">
        <v>76</v>
      </c>
      <c r="O80" s="184">
        <v>32</v>
      </c>
      <c r="P80" s="181">
        <v>3.62</v>
      </c>
      <c r="Q80" s="184">
        <v>41033</v>
      </c>
      <c r="R80" s="184">
        <v>148500</v>
      </c>
      <c r="S80" s="184">
        <v>205941</v>
      </c>
      <c r="T80" s="184">
        <v>127206</v>
      </c>
      <c r="U80" s="184">
        <v>228161</v>
      </c>
      <c r="V80" s="182">
        <v>1.44</v>
      </c>
      <c r="W80" s="183">
        <v>21</v>
      </c>
      <c r="X80" s="185">
        <v>17</v>
      </c>
      <c r="Y80" s="183">
        <v>158446375</v>
      </c>
      <c r="Z80" s="179" t="s">
        <v>274</v>
      </c>
      <c r="AA80" s="186" t="s">
        <v>200</v>
      </c>
      <c r="AB80" s="177" t="s">
        <v>200</v>
      </c>
      <c r="AC80" s="177" t="s">
        <v>200</v>
      </c>
      <c r="AD80" s="177" t="s">
        <v>200</v>
      </c>
      <c r="AE80" s="177" t="s">
        <v>200</v>
      </c>
      <c r="AF80" s="177" t="s">
        <v>200</v>
      </c>
      <c r="AG80" s="177" t="s">
        <v>200</v>
      </c>
      <c r="AH80" s="177" t="s">
        <v>200</v>
      </c>
      <c r="AI80" s="177" t="s">
        <v>200</v>
      </c>
      <c r="AJ80" s="177" t="s">
        <v>200</v>
      </c>
      <c r="AK80" s="177" t="s">
        <v>200</v>
      </c>
      <c r="AL80" s="177" t="s">
        <v>200</v>
      </c>
      <c r="AM80" s="177" t="s">
        <v>200</v>
      </c>
      <c r="AN80" s="177" t="s">
        <v>200</v>
      </c>
      <c r="AO80" s="177" t="s">
        <v>200</v>
      </c>
      <c r="AP80" s="177" t="s">
        <v>200</v>
      </c>
      <c r="AQ80" s="177" t="s">
        <v>200</v>
      </c>
      <c r="AR80" s="177" t="s">
        <v>200</v>
      </c>
      <c r="AS80" s="177" t="s">
        <v>200</v>
      </c>
      <c r="AT80" s="177" t="s">
        <v>200</v>
      </c>
      <c r="AU80" s="177" t="s">
        <v>200</v>
      </c>
      <c r="AV80" s="177" t="s">
        <v>200</v>
      </c>
      <c r="AW80" s="177" t="s">
        <v>200</v>
      </c>
      <c r="AX80" s="177" t="s">
        <v>200</v>
      </c>
      <c r="AY80" s="177" t="s">
        <v>200</v>
      </c>
      <c r="AZ80" s="177" t="s">
        <v>200</v>
      </c>
      <c r="BA80" s="177" t="s">
        <v>200</v>
      </c>
      <c r="BB80" s="177" t="s">
        <v>200</v>
      </c>
      <c r="BC80" s="184">
        <v>158446375</v>
      </c>
      <c r="BD80" s="177" t="s">
        <v>200</v>
      </c>
      <c r="BE80" s="177" t="s">
        <v>200</v>
      </c>
      <c r="BF80" s="177" t="s">
        <v>200</v>
      </c>
      <c r="BG80" s="177" t="s">
        <v>200</v>
      </c>
      <c r="BH80" s="177" t="s">
        <v>200</v>
      </c>
      <c r="BI80" s="177" t="s">
        <v>200</v>
      </c>
      <c r="BJ80" s="187" t="s">
        <v>200</v>
      </c>
    </row>
    <row r="81" spans="2:62" x14ac:dyDescent="0.2">
      <c r="B81" s="175">
        <v>45902</v>
      </c>
      <c r="C81" s="176">
        <v>45902.458615787036</v>
      </c>
      <c r="D81" s="177" t="s">
        <v>267</v>
      </c>
      <c r="E81" s="178" t="s">
        <v>268</v>
      </c>
      <c r="F81" s="179" t="s">
        <v>269</v>
      </c>
      <c r="G81" s="180">
        <v>73.5</v>
      </c>
      <c r="H81" s="181">
        <v>64</v>
      </c>
      <c r="I81" s="181">
        <v>80</v>
      </c>
      <c r="J81" s="181">
        <v>73.58</v>
      </c>
      <c r="K81" s="182">
        <v>73.45</v>
      </c>
      <c r="L81" s="183">
        <v>3268000</v>
      </c>
      <c r="M81" s="184">
        <v>4191500</v>
      </c>
      <c r="N81" s="184">
        <v>84</v>
      </c>
      <c r="O81" s="184">
        <v>37</v>
      </c>
      <c r="P81" s="181">
        <v>4.2</v>
      </c>
      <c r="Q81" s="184">
        <v>49899</v>
      </c>
      <c r="R81" s="184">
        <v>209575</v>
      </c>
      <c r="S81" s="184">
        <v>278254</v>
      </c>
      <c r="T81" s="184">
        <v>181556</v>
      </c>
      <c r="U81" s="184">
        <v>286556</v>
      </c>
      <c r="V81" s="182">
        <v>1.28</v>
      </c>
      <c r="W81" s="183">
        <v>20</v>
      </c>
      <c r="X81" s="185">
        <v>18</v>
      </c>
      <c r="Y81" s="183">
        <v>240198000</v>
      </c>
      <c r="Z81" s="179" t="s">
        <v>270</v>
      </c>
      <c r="AA81" s="183">
        <v>2131500</v>
      </c>
      <c r="AB81" s="184">
        <v>3711750</v>
      </c>
      <c r="AC81" s="184">
        <v>6027000</v>
      </c>
      <c r="AD81" s="184">
        <v>771750</v>
      </c>
      <c r="AE81" s="184">
        <v>3969000</v>
      </c>
      <c r="AF81" s="177" t="s">
        <v>200</v>
      </c>
      <c r="AG81" s="184">
        <v>2094750</v>
      </c>
      <c r="AH81" s="184">
        <v>1837500</v>
      </c>
      <c r="AI81" s="184">
        <v>8158500</v>
      </c>
      <c r="AJ81" s="184">
        <v>18595500</v>
      </c>
      <c r="AK81" s="184">
        <v>2940000</v>
      </c>
      <c r="AL81" s="184">
        <v>11025000</v>
      </c>
      <c r="AM81" s="184">
        <v>845250</v>
      </c>
      <c r="AN81" s="184">
        <v>3160500</v>
      </c>
      <c r="AO81" s="184">
        <v>882000</v>
      </c>
      <c r="AP81" s="184">
        <v>18338250</v>
      </c>
      <c r="AQ81" s="184">
        <v>36750</v>
      </c>
      <c r="AR81" s="184">
        <v>18522000</v>
      </c>
      <c r="AS81" s="184">
        <v>26901000</v>
      </c>
      <c r="AT81" s="184">
        <v>0</v>
      </c>
      <c r="AU81" s="184">
        <v>588000</v>
      </c>
      <c r="AV81" s="184">
        <v>0</v>
      </c>
      <c r="AW81" s="184">
        <v>477750</v>
      </c>
      <c r="AX81" s="184">
        <v>45717000</v>
      </c>
      <c r="AY81" s="184">
        <v>367500</v>
      </c>
      <c r="AZ81" s="184">
        <v>17934000</v>
      </c>
      <c r="BA81" s="184">
        <v>6578250</v>
      </c>
      <c r="BB81" s="184">
        <v>1433250</v>
      </c>
      <c r="BC81" s="177" t="s">
        <v>200</v>
      </c>
      <c r="BD81" s="184">
        <v>3895500</v>
      </c>
      <c r="BE81" s="184">
        <v>3234000</v>
      </c>
      <c r="BF81" s="184">
        <v>1286250</v>
      </c>
      <c r="BG81" s="184">
        <v>25872000</v>
      </c>
      <c r="BH81" s="184">
        <v>955500</v>
      </c>
      <c r="BI81" s="184">
        <v>1911000</v>
      </c>
      <c r="BJ81" s="187" t="s">
        <v>200</v>
      </c>
    </row>
    <row r="82" spans="2:62" x14ac:dyDescent="0.2">
      <c r="B82" s="175">
        <v>45901</v>
      </c>
      <c r="C82" s="176">
        <v>45901.458714016204</v>
      </c>
      <c r="D82" s="177" t="s">
        <v>267</v>
      </c>
      <c r="E82" s="178" t="s">
        <v>268</v>
      </c>
      <c r="F82" s="179" t="s">
        <v>269</v>
      </c>
      <c r="G82" s="180">
        <v>73.14</v>
      </c>
      <c r="H82" s="181">
        <v>64</v>
      </c>
      <c r="I82" s="181">
        <v>85</v>
      </c>
      <c r="J82" s="181">
        <v>73.239999999999995</v>
      </c>
      <c r="K82" s="182">
        <v>73.010000000000005</v>
      </c>
      <c r="L82" s="183">
        <v>3268000</v>
      </c>
      <c r="M82" s="184">
        <v>4365500</v>
      </c>
      <c r="N82" s="184">
        <v>79</v>
      </c>
      <c r="O82" s="184">
        <v>30</v>
      </c>
      <c r="P82" s="181">
        <v>3.43</v>
      </c>
      <c r="Q82" s="184">
        <v>55259</v>
      </c>
      <c r="R82" s="184">
        <v>189804</v>
      </c>
      <c r="S82" s="184">
        <v>231458</v>
      </c>
      <c r="T82" s="184">
        <v>204250</v>
      </c>
      <c r="U82" s="184">
        <v>231581</v>
      </c>
      <c r="V82" s="182">
        <v>1.34</v>
      </c>
      <c r="W82" s="183">
        <v>23</v>
      </c>
      <c r="X82" s="185">
        <v>16</v>
      </c>
      <c r="Y82" s="183">
        <v>239021520</v>
      </c>
      <c r="Z82" s="179" t="s">
        <v>270</v>
      </c>
      <c r="AA82" s="183">
        <v>2121060</v>
      </c>
      <c r="AB82" s="184">
        <v>3693570</v>
      </c>
      <c r="AC82" s="184">
        <v>5997480</v>
      </c>
      <c r="AD82" s="184">
        <v>767970</v>
      </c>
      <c r="AE82" s="184">
        <v>3949560</v>
      </c>
      <c r="AF82" s="177" t="s">
        <v>200</v>
      </c>
      <c r="AG82" s="184">
        <v>2084490</v>
      </c>
      <c r="AH82" s="184">
        <v>1828500</v>
      </c>
      <c r="AI82" s="184">
        <v>8118540</v>
      </c>
      <c r="AJ82" s="184">
        <v>18504420</v>
      </c>
      <c r="AK82" s="184">
        <v>2925600</v>
      </c>
      <c r="AL82" s="184">
        <v>10971000</v>
      </c>
      <c r="AM82" s="184">
        <v>841110</v>
      </c>
      <c r="AN82" s="184">
        <v>3145020</v>
      </c>
      <c r="AO82" s="184">
        <v>877680</v>
      </c>
      <c r="AP82" s="184">
        <v>18248430</v>
      </c>
      <c r="AQ82" s="184">
        <v>36570</v>
      </c>
      <c r="AR82" s="184">
        <v>18431280</v>
      </c>
      <c r="AS82" s="184">
        <v>26769240</v>
      </c>
      <c r="AT82" s="184">
        <v>0</v>
      </c>
      <c r="AU82" s="184">
        <v>585120</v>
      </c>
      <c r="AV82" s="184">
        <v>0</v>
      </c>
      <c r="AW82" s="184">
        <v>475410</v>
      </c>
      <c r="AX82" s="184">
        <v>45493080</v>
      </c>
      <c r="AY82" s="184">
        <v>365700</v>
      </c>
      <c r="AZ82" s="184">
        <v>17846160</v>
      </c>
      <c r="BA82" s="184">
        <v>6546030</v>
      </c>
      <c r="BB82" s="184">
        <v>1426230</v>
      </c>
      <c r="BC82" s="177" t="s">
        <v>200</v>
      </c>
      <c r="BD82" s="184">
        <v>3876420</v>
      </c>
      <c r="BE82" s="184">
        <v>3218160</v>
      </c>
      <c r="BF82" s="184">
        <v>1279950</v>
      </c>
      <c r="BG82" s="184">
        <v>25745280</v>
      </c>
      <c r="BH82" s="184">
        <v>950820</v>
      </c>
      <c r="BI82" s="184">
        <v>1901640</v>
      </c>
      <c r="BJ82" s="187" t="s">
        <v>200</v>
      </c>
    </row>
    <row r="83" spans="2:62" x14ac:dyDescent="0.2">
      <c r="B83" s="175">
        <v>45898</v>
      </c>
      <c r="C83" s="176">
        <v>45898.458814212965</v>
      </c>
      <c r="D83" s="177" t="s">
        <v>271</v>
      </c>
      <c r="E83" s="178" t="s">
        <v>268</v>
      </c>
      <c r="F83" s="179" t="s">
        <v>269</v>
      </c>
      <c r="G83" s="180">
        <v>71.3</v>
      </c>
      <c r="H83" s="181">
        <v>65</v>
      </c>
      <c r="I83" s="181">
        <v>80</v>
      </c>
      <c r="J83" s="181">
        <v>71.73</v>
      </c>
      <c r="K83" s="182">
        <v>71.17</v>
      </c>
      <c r="L83" s="183">
        <v>1614500</v>
      </c>
      <c r="M83" s="184">
        <v>2932500</v>
      </c>
      <c r="N83" s="184">
        <v>79</v>
      </c>
      <c r="O83" s="184">
        <v>25</v>
      </c>
      <c r="P83" s="181">
        <v>3.59</v>
      </c>
      <c r="Q83" s="184">
        <v>37120</v>
      </c>
      <c r="R83" s="184">
        <v>133295</v>
      </c>
      <c r="S83" s="184">
        <v>130477</v>
      </c>
      <c r="T83" s="184">
        <v>124192</v>
      </c>
      <c r="U83" s="184">
        <v>163448</v>
      </c>
      <c r="V83" s="182">
        <v>1.82</v>
      </c>
      <c r="W83" s="183">
        <v>22</v>
      </c>
      <c r="X83" s="185">
        <v>13</v>
      </c>
      <c r="Y83" s="183">
        <v>115113850</v>
      </c>
      <c r="Z83" s="179" t="s">
        <v>272</v>
      </c>
      <c r="AA83" s="186" t="s">
        <v>200</v>
      </c>
      <c r="AB83" s="177" t="s">
        <v>200</v>
      </c>
      <c r="AC83" s="177" t="s">
        <v>200</v>
      </c>
      <c r="AD83" s="177" t="s">
        <v>200</v>
      </c>
      <c r="AE83" s="177" t="s">
        <v>200</v>
      </c>
      <c r="AF83" s="184">
        <v>115113850</v>
      </c>
      <c r="AG83" s="177" t="s">
        <v>200</v>
      </c>
      <c r="AH83" s="177" t="s">
        <v>200</v>
      </c>
      <c r="AI83" s="177" t="s">
        <v>200</v>
      </c>
      <c r="AJ83" s="177" t="s">
        <v>200</v>
      </c>
      <c r="AK83" s="177" t="s">
        <v>200</v>
      </c>
      <c r="AL83" s="177" t="s">
        <v>200</v>
      </c>
      <c r="AM83" s="177" t="s">
        <v>200</v>
      </c>
      <c r="AN83" s="177" t="s">
        <v>200</v>
      </c>
      <c r="AO83" s="177" t="s">
        <v>200</v>
      </c>
      <c r="AP83" s="177" t="s">
        <v>200</v>
      </c>
      <c r="AQ83" s="177" t="s">
        <v>200</v>
      </c>
      <c r="AR83" s="177" t="s">
        <v>200</v>
      </c>
      <c r="AS83" s="177" t="s">
        <v>200</v>
      </c>
      <c r="AT83" s="177" t="s">
        <v>200</v>
      </c>
      <c r="AU83" s="177" t="s">
        <v>200</v>
      </c>
      <c r="AV83" s="177" t="s">
        <v>200</v>
      </c>
      <c r="AW83" s="177" t="s">
        <v>200</v>
      </c>
      <c r="AX83" s="177" t="s">
        <v>200</v>
      </c>
      <c r="AY83" s="177" t="s">
        <v>200</v>
      </c>
      <c r="AZ83" s="177" t="s">
        <v>200</v>
      </c>
      <c r="BA83" s="177" t="s">
        <v>200</v>
      </c>
      <c r="BB83" s="177" t="s">
        <v>200</v>
      </c>
      <c r="BC83" s="177" t="s">
        <v>200</v>
      </c>
      <c r="BD83" s="177" t="s">
        <v>200</v>
      </c>
      <c r="BE83" s="177" t="s">
        <v>200</v>
      </c>
      <c r="BF83" s="177" t="s">
        <v>200</v>
      </c>
      <c r="BG83" s="177" t="s">
        <v>200</v>
      </c>
      <c r="BH83" s="177" t="s">
        <v>200</v>
      </c>
      <c r="BI83" s="177" t="s">
        <v>200</v>
      </c>
      <c r="BJ83" s="187" t="s">
        <v>200</v>
      </c>
    </row>
    <row r="84" spans="2:62" x14ac:dyDescent="0.2">
      <c r="B84" s="175">
        <v>45897</v>
      </c>
      <c r="C84" s="176">
        <v>45897.458807523151</v>
      </c>
      <c r="D84" s="177" t="s">
        <v>267</v>
      </c>
      <c r="E84" s="178" t="s">
        <v>268</v>
      </c>
      <c r="F84" s="179" t="s">
        <v>269</v>
      </c>
      <c r="G84" s="180">
        <v>71.180000000000007</v>
      </c>
      <c r="H84" s="181">
        <v>64</v>
      </c>
      <c r="I84" s="181">
        <v>82</v>
      </c>
      <c r="J84" s="181">
        <v>71.459999999999994</v>
      </c>
      <c r="K84" s="182">
        <v>71.099999999999994</v>
      </c>
      <c r="L84" s="183">
        <v>3244500</v>
      </c>
      <c r="M84" s="184">
        <v>4520000</v>
      </c>
      <c r="N84" s="184">
        <v>87</v>
      </c>
      <c r="O84" s="184">
        <v>37</v>
      </c>
      <c r="P84" s="181">
        <v>3.78</v>
      </c>
      <c r="Q84" s="184">
        <v>51954</v>
      </c>
      <c r="R84" s="184">
        <v>196522</v>
      </c>
      <c r="S84" s="184">
        <v>240404</v>
      </c>
      <c r="T84" s="184">
        <v>162225</v>
      </c>
      <c r="U84" s="184">
        <v>225485</v>
      </c>
      <c r="V84" s="182">
        <v>1.39</v>
      </c>
      <c r="W84" s="183">
        <v>23</v>
      </c>
      <c r="X84" s="185">
        <v>20</v>
      </c>
      <c r="Y84" s="183">
        <v>230943510</v>
      </c>
      <c r="Z84" s="179" t="s">
        <v>270</v>
      </c>
      <c r="AA84" s="183">
        <v>1993040</v>
      </c>
      <c r="AB84" s="184">
        <v>3487820</v>
      </c>
      <c r="AC84" s="184">
        <v>5801170</v>
      </c>
      <c r="AD84" s="184">
        <v>391490</v>
      </c>
      <c r="AE84" s="184">
        <v>2491300</v>
      </c>
      <c r="AF84" s="177" t="s">
        <v>200</v>
      </c>
      <c r="AG84" s="184">
        <v>2953970</v>
      </c>
      <c r="AH84" s="184">
        <v>1103290</v>
      </c>
      <c r="AI84" s="184">
        <v>5836760</v>
      </c>
      <c r="AJ84" s="184">
        <v>16122270</v>
      </c>
      <c r="AK84" s="184">
        <v>4199620</v>
      </c>
      <c r="AL84" s="184">
        <v>10463460</v>
      </c>
      <c r="AM84" s="184">
        <v>1637140</v>
      </c>
      <c r="AN84" s="184">
        <v>1352420</v>
      </c>
      <c r="AO84" s="184">
        <v>640620</v>
      </c>
      <c r="AP84" s="184">
        <v>17759410</v>
      </c>
      <c r="AQ84" s="184">
        <v>2491300</v>
      </c>
      <c r="AR84" s="184">
        <v>16193450</v>
      </c>
      <c r="AS84" s="184">
        <v>26051880</v>
      </c>
      <c r="AT84" s="184">
        <v>0</v>
      </c>
      <c r="AU84" s="184">
        <v>284720</v>
      </c>
      <c r="AV84" s="184">
        <v>0</v>
      </c>
      <c r="AW84" s="184">
        <v>3025150</v>
      </c>
      <c r="AX84" s="184">
        <v>44273960</v>
      </c>
      <c r="AY84" s="184">
        <v>462670</v>
      </c>
      <c r="AZ84" s="184">
        <v>17367920</v>
      </c>
      <c r="BA84" s="184">
        <v>7509490</v>
      </c>
      <c r="BB84" s="184">
        <v>1565960</v>
      </c>
      <c r="BC84" s="177" t="s">
        <v>200</v>
      </c>
      <c r="BD84" s="184">
        <v>3986080</v>
      </c>
      <c r="BE84" s="184">
        <v>2562480</v>
      </c>
      <c r="BF84" s="184">
        <v>1423600</v>
      </c>
      <c r="BG84" s="184">
        <v>25055360</v>
      </c>
      <c r="BH84" s="184">
        <v>1957450</v>
      </c>
      <c r="BI84" s="184">
        <v>498260</v>
      </c>
      <c r="BJ84" s="187" t="s">
        <v>200</v>
      </c>
    </row>
    <row r="85" spans="2:62" x14ac:dyDescent="0.2">
      <c r="B85" s="175">
        <v>45895</v>
      </c>
      <c r="C85" s="176">
        <v>45895.458826261573</v>
      </c>
      <c r="D85" s="177" t="s">
        <v>267</v>
      </c>
      <c r="E85" s="178" t="s">
        <v>268</v>
      </c>
      <c r="F85" s="179" t="s">
        <v>269</v>
      </c>
      <c r="G85" s="180">
        <v>71.31</v>
      </c>
      <c r="H85" s="181">
        <v>69</v>
      </c>
      <c r="I85" s="181">
        <v>82.06</v>
      </c>
      <c r="J85" s="181">
        <v>71.58</v>
      </c>
      <c r="K85" s="182">
        <v>71.11</v>
      </c>
      <c r="L85" s="183">
        <v>3245500</v>
      </c>
      <c r="M85" s="184">
        <v>4798500</v>
      </c>
      <c r="N85" s="184">
        <v>90</v>
      </c>
      <c r="O85" s="184">
        <v>28</v>
      </c>
      <c r="P85" s="181">
        <v>3.91</v>
      </c>
      <c r="Q85" s="184">
        <v>53317</v>
      </c>
      <c r="R85" s="184">
        <v>208630</v>
      </c>
      <c r="S85" s="184">
        <v>263629</v>
      </c>
      <c r="T85" s="184">
        <v>202844</v>
      </c>
      <c r="U85" s="184">
        <v>284061</v>
      </c>
      <c r="V85" s="182">
        <v>1.48</v>
      </c>
      <c r="W85" s="183">
        <v>23</v>
      </c>
      <c r="X85" s="185">
        <v>16</v>
      </c>
      <c r="Y85" s="183">
        <v>231436605</v>
      </c>
      <c r="Z85" s="179" t="s">
        <v>270</v>
      </c>
      <c r="AA85" s="183">
        <v>2067990</v>
      </c>
      <c r="AB85" s="184">
        <v>3565500</v>
      </c>
      <c r="AC85" s="184">
        <v>5669145</v>
      </c>
      <c r="AD85" s="184">
        <v>748755</v>
      </c>
      <c r="AE85" s="184">
        <v>3850740</v>
      </c>
      <c r="AF85" s="177" t="s">
        <v>200</v>
      </c>
      <c r="AG85" s="184">
        <v>1996680</v>
      </c>
      <c r="AH85" s="184">
        <v>1747095</v>
      </c>
      <c r="AI85" s="184">
        <v>7772790</v>
      </c>
      <c r="AJ85" s="184">
        <v>17720535</v>
      </c>
      <c r="AK85" s="184">
        <v>2781090</v>
      </c>
      <c r="AL85" s="184">
        <v>10518225</v>
      </c>
      <c r="AM85" s="184">
        <v>784410</v>
      </c>
      <c r="AN85" s="184">
        <v>2995020</v>
      </c>
      <c r="AO85" s="184">
        <v>855720</v>
      </c>
      <c r="AP85" s="184">
        <v>17791845</v>
      </c>
      <c r="AQ85" s="184">
        <v>35655</v>
      </c>
      <c r="AR85" s="184">
        <v>17720535</v>
      </c>
      <c r="AS85" s="184">
        <v>26099460</v>
      </c>
      <c r="AT85" s="184">
        <v>0</v>
      </c>
      <c r="AU85" s="184">
        <v>570480</v>
      </c>
      <c r="AV85" s="184">
        <v>0</v>
      </c>
      <c r="AW85" s="184">
        <v>427860</v>
      </c>
      <c r="AX85" s="184">
        <v>44354820</v>
      </c>
      <c r="AY85" s="184">
        <v>356550</v>
      </c>
      <c r="AZ85" s="184">
        <v>17399640</v>
      </c>
      <c r="BA85" s="184">
        <v>6275280</v>
      </c>
      <c r="BB85" s="184">
        <v>1354890</v>
      </c>
      <c r="BC85" s="177" t="s">
        <v>200</v>
      </c>
      <c r="BD85" s="184">
        <v>3708120</v>
      </c>
      <c r="BE85" s="184">
        <v>3173295</v>
      </c>
      <c r="BF85" s="184">
        <v>1247925</v>
      </c>
      <c r="BG85" s="184">
        <v>25101120</v>
      </c>
      <c r="BH85" s="184">
        <v>891375</v>
      </c>
      <c r="BI85" s="184">
        <v>1854060</v>
      </c>
      <c r="BJ85" s="187" t="s">
        <v>200</v>
      </c>
    </row>
    <row r="86" spans="2:62" x14ac:dyDescent="0.2">
      <c r="B86" s="175">
        <v>45894</v>
      </c>
      <c r="C86" s="176">
        <v>45894.458586759261</v>
      </c>
      <c r="D86" s="177" t="s">
        <v>267</v>
      </c>
      <c r="E86" s="178" t="s">
        <v>268</v>
      </c>
      <c r="F86" s="179" t="s">
        <v>269</v>
      </c>
      <c r="G86" s="180">
        <v>71.36</v>
      </c>
      <c r="H86" s="181">
        <v>64</v>
      </c>
      <c r="I86" s="181">
        <v>80</v>
      </c>
      <c r="J86" s="181">
        <v>71.510000000000005</v>
      </c>
      <c r="K86" s="182">
        <v>71.209999999999994</v>
      </c>
      <c r="L86" s="183">
        <v>3245500</v>
      </c>
      <c r="M86" s="184">
        <v>5042500</v>
      </c>
      <c r="N86" s="184">
        <v>91</v>
      </c>
      <c r="O86" s="184">
        <v>30</v>
      </c>
      <c r="P86" s="181">
        <v>4.1399999999999997</v>
      </c>
      <c r="Q86" s="184">
        <v>55412</v>
      </c>
      <c r="R86" s="184">
        <v>229205</v>
      </c>
      <c r="S86" s="184">
        <v>286331</v>
      </c>
      <c r="T86" s="184">
        <v>202844</v>
      </c>
      <c r="U86" s="184">
        <v>297013</v>
      </c>
      <c r="V86" s="182">
        <v>1.55</v>
      </c>
      <c r="W86" s="183">
        <v>22</v>
      </c>
      <c r="X86" s="185">
        <v>16</v>
      </c>
      <c r="Y86" s="183">
        <v>231598880</v>
      </c>
      <c r="Z86" s="179" t="s">
        <v>270</v>
      </c>
      <c r="AA86" s="183">
        <v>2069440</v>
      </c>
      <c r="AB86" s="184">
        <v>3568000</v>
      </c>
      <c r="AC86" s="184">
        <v>5673120</v>
      </c>
      <c r="AD86" s="184">
        <v>749280</v>
      </c>
      <c r="AE86" s="184">
        <v>3853440</v>
      </c>
      <c r="AF86" s="177" t="s">
        <v>200</v>
      </c>
      <c r="AG86" s="184">
        <v>1998080</v>
      </c>
      <c r="AH86" s="184">
        <v>1748320</v>
      </c>
      <c r="AI86" s="184">
        <v>7778240</v>
      </c>
      <c r="AJ86" s="184">
        <v>17732960</v>
      </c>
      <c r="AK86" s="184">
        <v>2783040</v>
      </c>
      <c r="AL86" s="184">
        <v>10525600</v>
      </c>
      <c r="AM86" s="184">
        <v>784960</v>
      </c>
      <c r="AN86" s="184">
        <v>2997120</v>
      </c>
      <c r="AO86" s="184">
        <v>856320</v>
      </c>
      <c r="AP86" s="184">
        <v>17804320</v>
      </c>
      <c r="AQ86" s="184">
        <v>35680</v>
      </c>
      <c r="AR86" s="184">
        <v>17732960</v>
      </c>
      <c r="AS86" s="184">
        <v>26117760</v>
      </c>
      <c r="AT86" s="184">
        <v>0</v>
      </c>
      <c r="AU86" s="184">
        <v>570880</v>
      </c>
      <c r="AV86" s="184">
        <v>0</v>
      </c>
      <c r="AW86" s="184">
        <v>428160</v>
      </c>
      <c r="AX86" s="184">
        <v>44385920</v>
      </c>
      <c r="AY86" s="184">
        <v>356800</v>
      </c>
      <c r="AZ86" s="184">
        <v>17411840</v>
      </c>
      <c r="BA86" s="184">
        <v>6279680</v>
      </c>
      <c r="BB86" s="184">
        <v>1355840</v>
      </c>
      <c r="BC86" s="177" t="s">
        <v>200</v>
      </c>
      <c r="BD86" s="184">
        <v>3710720</v>
      </c>
      <c r="BE86" s="184">
        <v>3175520</v>
      </c>
      <c r="BF86" s="184">
        <v>1248800</v>
      </c>
      <c r="BG86" s="184">
        <v>25118720</v>
      </c>
      <c r="BH86" s="184">
        <v>892000</v>
      </c>
      <c r="BI86" s="184">
        <v>1855360</v>
      </c>
      <c r="BJ86" s="187" t="s">
        <v>200</v>
      </c>
    </row>
    <row r="87" spans="2:62" x14ac:dyDescent="0.2">
      <c r="B87" s="175">
        <v>45891</v>
      </c>
      <c r="C87" s="176">
        <v>45891.458752905091</v>
      </c>
      <c r="D87" s="177" t="s">
        <v>271</v>
      </c>
      <c r="E87" s="178" t="s">
        <v>268</v>
      </c>
      <c r="F87" s="179" t="s">
        <v>269</v>
      </c>
      <c r="G87" s="180">
        <v>72.05</v>
      </c>
      <c r="H87" s="181">
        <v>69.5</v>
      </c>
      <c r="I87" s="181">
        <v>80</v>
      </c>
      <c r="J87" s="181">
        <v>72.14</v>
      </c>
      <c r="K87" s="182">
        <v>71.849999999999994</v>
      </c>
      <c r="L87" s="183">
        <v>1607000</v>
      </c>
      <c r="M87" s="184">
        <v>2596000</v>
      </c>
      <c r="N87" s="184">
        <v>63</v>
      </c>
      <c r="O87" s="184">
        <v>19</v>
      </c>
      <c r="P87" s="181">
        <v>3</v>
      </c>
      <c r="Q87" s="184">
        <v>41206</v>
      </c>
      <c r="R87" s="184">
        <v>123619</v>
      </c>
      <c r="S87" s="184">
        <v>133129</v>
      </c>
      <c r="T87" s="184">
        <v>160700</v>
      </c>
      <c r="U87" s="184">
        <v>175114</v>
      </c>
      <c r="V87" s="182">
        <v>1.62</v>
      </c>
      <c r="W87" s="183">
        <v>21</v>
      </c>
      <c r="X87" s="185">
        <v>10</v>
      </c>
      <c r="Y87" s="183">
        <v>115784350</v>
      </c>
      <c r="Z87" s="179" t="s">
        <v>272</v>
      </c>
      <c r="AA87" s="186" t="s">
        <v>200</v>
      </c>
      <c r="AB87" s="177" t="s">
        <v>200</v>
      </c>
      <c r="AC87" s="177" t="s">
        <v>200</v>
      </c>
      <c r="AD87" s="177" t="s">
        <v>200</v>
      </c>
      <c r="AE87" s="177" t="s">
        <v>200</v>
      </c>
      <c r="AF87" s="184">
        <v>115784350</v>
      </c>
      <c r="AG87" s="177" t="s">
        <v>200</v>
      </c>
      <c r="AH87" s="177" t="s">
        <v>200</v>
      </c>
      <c r="AI87" s="177" t="s">
        <v>200</v>
      </c>
      <c r="AJ87" s="177" t="s">
        <v>200</v>
      </c>
      <c r="AK87" s="177" t="s">
        <v>200</v>
      </c>
      <c r="AL87" s="177" t="s">
        <v>200</v>
      </c>
      <c r="AM87" s="177" t="s">
        <v>200</v>
      </c>
      <c r="AN87" s="177" t="s">
        <v>200</v>
      </c>
      <c r="AO87" s="177" t="s">
        <v>200</v>
      </c>
      <c r="AP87" s="177" t="s">
        <v>200</v>
      </c>
      <c r="AQ87" s="177" t="s">
        <v>200</v>
      </c>
      <c r="AR87" s="177" t="s">
        <v>200</v>
      </c>
      <c r="AS87" s="177" t="s">
        <v>200</v>
      </c>
      <c r="AT87" s="177" t="s">
        <v>200</v>
      </c>
      <c r="AU87" s="177" t="s">
        <v>200</v>
      </c>
      <c r="AV87" s="177" t="s">
        <v>200</v>
      </c>
      <c r="AW87" s="177" t="s">
        <v>200</v>
      </c>
      <c r="AX87" s="177" t="s">
        <v>200</v>
      </c>
      <c r="AY87" s="177" t="s">
        <v>200</v>
      </c>
      <c r="AZ87" s="177" t="s">
        <v>200</v>
      </c>
      <c r="BA87" s="177" t="s">
        <v>200</v>
      </c>
      <c r="BB87" s="177" t="s">
        <v>200</v>
      </c>
      <c r="BC87" s="177" t="s">
        <v>200</v>
      </c>
      <c r="BD87" s="177" t="s">
        <v>200</v>
      </c>
      <c r="BE87" s="177" t="s">
        <v>200</v>
      </c>
      <c r="BF87" s="177" t="s">
        <v>200</v>
      </c>
      <c r="BG87" s="177" t="s">
        <v>200</v>
      </c>
      <c r="BH87" s="177" t="s">
        <v>200</v>
      </c>
      <c r="BI87" s="177" t="s">
        <v>200</v>
      </c>
      <c r="BJ87" s="187" t="s">
        <v>200</v>
      </c>
    </row>
    <row r="88" spans="2:62" x14ac:dyDescent="0.2">
      <c r="B88" s="175">
        <v>45890</v>
      </c>
      <c r="C88" s="176">
        <v>45890.458668344909</v>
      </c>
      <c r="D88" s="177" t="s">
        <v>267</v>
      </c>
      <c r="E88" s="178" t="s">
        <v>268</v>
      </c>
      <c r="F88" s="179" t="s">
        <v>269</v>
      </c>
      <c r="G88" s="180">
        <v>71.19</v>
      </c>
      <c r="H88" s="181">
        <v>60</v>
      </c>
      <c r="I88" s="181">
        <v>85</v>
      </c>
      <c r="J88" s="181">
        <v>71.430000000000007</v>
      </c>
      <c r="K88" s="182">
        <v>71.05</v>
      </c>
      <c r="L88" s="183">
        <v>3245500</v>
      </c>
      <c r="M88" s="184">
        <v>4433000</v>
      </c>
      <c r="N88" s="184">
        <v>84</v>
      </c>
      <c r="O88" s="184">
        <v>34</v>
      </c>
      <c r="P88" s="181">
        <v>3.23</v>
      </c>
      <c r="Q88" s="184">
        <v>52774</v>
      </c>
      <c r="R88" s="184">
        <v>170500</v>
      </c>
      <c r="S88" s="184">
        <v>223594</v>
      </c>
      <c r="T88" s="184">
        <v>162275</v>
      </c>
      <c r="U88" s="184">
        <v>207676</v>
      </c>
      <c r="V88" s="182">
        <v>1.37</v>
      </c>
      <c r="W88" s="183">
        <v>26</v>
      </c>
      <c r="X88" s="185">
        <v>20</v>
      </c>
      <c r="Y88" s="183">
        <v>231047145</v>
      </c>
      <c r="Z88" s="179" t="s">
        <v>270</v>
      </c>
      <c r="AA88" s="183">
        <v>2064510</v>
      </c>
      <c r="AB88" s="184">
        <v>3559500</v>
      </c>
      <c r="AC88" s="184">
        <v>5659605</v>
      </c>
      <c r="AD88" s="184">
        <v>747495</v>
      </c>
      <c r="AE88" s="184">
        <v>3844260</v>
      </c>
      <c r="AF88" s="177" t="s">
        <v>200</v>
      </c>
      <c r="AG88" s="184">
        <v>1993320</v>
      </c>
      <c r="AH88" s="184">
        <v>1744155</v>
      </c>
      <c r="AI88" s="184">
        <v>7759710</v>
      </c>
      <c r="AJ88" s="184">
        <v>17690715</v>
      </c>
      <c r="AK88" s="184">
        <v>2776410</v>
      </c>
      <c r="AL88" s="184">
        <v>10500525</v>
      </c>
      <c r="AM88" s="184">
        <v>783090</v>
      </c>
      <c r="AN88" s="184">
        <v>2989980</v>
      </c>
      <c r="AO88" s="184">
        <v>854280</v>
      </c>
      <c r="AP88" s="184">
        <v>17761905</v>
      </c>
      <c r="AQ88" s="184">
        <v>35595</v>
      </c>
      <c r="AR88" s="184">
        <v>17690715</v>
      </c>
      <c r="AS88" s="184">
        <v>26055540</v>
      </c>
      <c r="AT88" s="184">
        <v>0</v>
      </c>
      <c r="AU88" s="184">
        <v>569520</v>
      </c>
      <c r="AV88" s="184">
        <v>0</v>
      </c>
      <c r="AW88" s="184">
        <v>427140</v>
      </c>
      <c r="AX88" s="184">
        <v>44280180</v>
      </c>
      <c r="AY88" s="184">
        <v>355950</v>
      </c>
      <c r="AZ88" s="184">
        <v>17370360</v>
      </c>
      <c r="BA88" s="184">
        <v>6264720</v>
      </c>
      <c r="BB88" s="184">
        <v>1352610</v>
      </c>
      <c r="BC88" s="177" t="s">
        <v>200</v>
      </c>
      <c r="BD88" s="184">
        <v>3701880</v>
      </c>
      <c r="BE88" s="184">
        <v>3167955</v>
      </c>
      <c r="BF88" s="184">
        <v>1245825</v>
      </c>
      <c r="BG88" s="184">
        <v>25058880</v>
      </c>
      <c r="BH88" s="184">
        <v>889875</v>
      </c>
      <c r="BI88" s="184">
        <v>1850940</v>
      </c>
      <c r="BJ88" s="187" t="s">
        <v>200</v>
      </c>
    </row>
    <row r="89" spans="2:62" x14ac:dyDescent="0.2">
      <c r="B89" s="175">
        <v>45889</v>
      </c>
      <c r="C89" s="176">
        <v>45889.458720543982</v>
      </c>
      <c r="D89" s="177" t="s">
        <v>273</v>
      </c>
      <c r="E89" s="178" t="s">
        <v>268</v>
      </c>
      <c r="F89" s="179" t="s">
        <v>269</v>
      </c>
      <c r="G89" s="180">
        <v>70.47</v>
      </c>
      <c r="H89" s="181">
        <v>68.05</v>
      </c>
      <c r="I89" s="181">
        <v>80</v>
      </c>
      <c r="J89" s="181">
        <v>70.540000000000006</v>
      </c>
      <c r="K89" s="182">
        <v>70.150000000000006</v>
      </c>
      <c r="L89" s="183">
        <v>2069000</v>
      </c>
      <c r="M89" s="184">
        <v>3428000</v>
      </c>
      <c r="N89" s="184">
        <v>80</v>
      </c>
      <c r="O89" s="184">
        <v>26</v>
      </c>
      <c r="P89" s="181">
        <v>3.48</v>
      </c>
      <c r="Q89" s="184">
        <v>42850</v>
      </c>
      <c r="R89" s="184">
        <v>149043</v>
      </c>
      <c r="S89" s="184">
        <v>139049</v>
      </c>
      <c r="T89" s="184">
        <v>137933</v>
      </c>
      <c r="U89" s="184">
        <v>159499</v>
      </c>
      <c r="V89" s="182">
        <v>1.66</v>
      </c>
      <c r="W89" s="183">
        <v>23</v>
      </c>
      <c r="X89" s="185">
        <v>15</v>
      </c>
      <c r="Y89" s="183">
        <v>145802430</v>
      </c>
      <c r="Z89" s="179" t="s">
        <v>274</v>
      </c>
      <c r="AA89" s="186" t="s">
        <v>200</v>
      </c>
      <c r="AB89" s="177" t="s">
        <v>200</v>
      </c>
      <c r="AC89" s="177" t="s">
        <v>200</v>
      </c>
      <c r="AD89" s="177" t="s">
        <v>200</v>
      </c>
      <c r="AE89" s="177" t="s">
        <v>200</v>
      </c>
      <c r="AF89" s="177" t="s">
        <v>200</v>
      </c>
      <c r="AG89" s="177" t="s">
        <v>200</v>
      </c>
      <c r="AH89" s="177" t="s">
        <v>200</v>
      </c>
      <c r="AI89" s="177" t="s">
        <v>200</v>
      </c>
      <c r="AJ89" s="177" t="s">
        <v>200</v>
      </c>
      <c r="AK89" s="177" t="s">
        <v>200</v>
      </c>
      <c r="AL89" s="177" t="s">
        <v>200</v>
      </c>
      <c r="AM89" s="177" t="s">
        <v>200</v>
      </c>
      <c r="AN89" s="177" t="s">
        <v>200</v>
      </c>
      <c r="AO89" s="177" t="s">
        <v>200</v>
      </c>
      <c r="AP89" s="177" t="s">
        <v>200</v>
      </c>
      <c r="AQ89" s="177" t="s">
        <v>200</v>
      </c>
      <c r="AR89" s="177" t="s">
        <v>200</v>
      </c>
      <c r="AS89" s="177" t="s">
        <v>200</v>
      </c>
      <c r="AT89" s="177" t="s">
        <v>200</v>
      </c>
      <c r="AU89" s="177" t="s">
        <v>200</v>
      </c>
      <c r="AV89" s="177" t="s">
        <v>200</v>
      </c>
      <c r="AW89" s="177" t="s">
        <v>200</v>
      </c>
      <c r="AX89" s="177" t="s">
        <v>200</v>
      </c>
      <c r="AY89" s="177" t="s">
        <v>200</v>
      </c>
      <c r="AZ89" s="177" t="s">
        <v>200</v>
      </c>
      <c r="BA89" s="177" t="s">
        <v>200</v>
      </c>
      <c r="BB89" s="177" t="s">
        <v>200</v>
      </c>
      <c r="BC89" s="184">
        <v>145802430</v>
      </c>
      <c r="BD89" s="177" t="s">
        <v>200</v>
      </c>
      <c r="BE89" s="177" t="s">
        <v>200</v>
      </c>
      <c r="BF89" s="177" t="s">
        <v>200</v>
      </c>
      <c r="BG89" s="177" t="s">
        <v>200</v>
      </c>
      <c r="BH89" s="177" t="s">
        <v>200</v>
      </c>
      <c r="BI89" s="177" t="s">
        <v>200</v>
      </c>
      <c r="BJ89" s="187" t="s">
        <v>200</v>
      </c>
    </row>
    <row r="90" spans="2:62" x14ac:dyDescent="0.2">
      <c r="B90" s="175">
        <v>45888</v>
      </c>
      <c r="C90" s="176">
        <v>45888.458613194445</v>
      </c>
      <c r="D90" s="177" t="s">
        <v>267</v>
      </c>
      <c r="E90" s="178" t="s">
        <v>268</v>
      </c>
      <c r="F90" s="179" t="s">
        <v>269</v>
      </c>
      <c r="G90" s="180">
        <v>71.37</v>
      </c>
      <c r="H90" s="181">
        <v>68</v>
      </c>
      <c r="I90" s="181">
        <v>85</v>
      </c>
      <c r="J90" s="181">
        <v>71.319999999999993</v>
      </c>
      <c r="K90" s="182">
        <v>71.11</v>
      </c>
      <c r="L90" s="183">
        <v>3245500</v>
      </c>
      <c r="M90" s="184">
        <v>5172000</v>
      </c>
      <c r="N90" s="184">
        <v>93</v>
      </c>
      <c r="O90" s="184">
        <v>27</v>
      </c>
      <c r="P90" s="181">
        <v>3.88</v>
      </c>
      <c r="Q90" s="184">
        <v>55613</v>
      </c>
      <c r="R90" s="184">
        <v>215500</v>
      </c>
      <c r="S90" s="184">
        <v>228329</v>
      </c>
      <c r="T90" s="184">
        <v>216367</v>
      </c>
      <c r="U90" s="184">
        <v>216361</v>
      </c>
      <c r="V90" s="182">
        <v>1.59</v>
      </c>
      <c r="W90" s="183">
        <v>24</v>
      </c>
      <c r="X90" s="185">
        <v>15</v>
      </c>
      <c r="Y90" s="183">
        <v>231631335</v>
      </c>
      <c r="Z90" s="179" t="s">
        <v>270</v>
      </c>
      <c r="AA90" s="183">
        <v>2069730</v>
      </c>
      <c r="AB90" s="184">
        <v>3568500</v>
      </c>
      <c r="AC90" s="184">
        <v>5673915</v>
      </c>
      <c r="AD90" s="184">
        <v>749385</v>
      </c>
      <c r="AE90" s="184">
        <v>3853980</v>
      </c>
      <c r="AF90" s="177" t="s">
        <v>200</v>
      </c>
      <c r="AG90" s="184">
        <v>1998360</v>
      </c>
      <c r="AH90" s="184">
        <v>1748565</v>
      </c>
      <c r="AI90" s="184">
        <v>7779330</v>
      </c>
      <c r="AJ90" s="184">
        <v>17735445</v>
      </c>
      <c r="AK90" s="184">
        <v>2783430</v>
      </c>
      <c r="AL90" s="184">
        <v>10527075</v>
      </c>
      <c r="AM90" s="184">
        <v>785070</v>
      </c>
      <c r="AN90" s="184">
        <v>2997540</v>
      </c>
      <c r="AO90" s="184">
        <v>856440</v>
      </c>
      <c r="AP90" s="184">
        <v>17806815</v>
      </c>
      <c r="AQ90" s="184">
        <v>35685</v>
      </c>
      <c r="AR90" s="184">
        <v>17735445</v>
      </c>
      <c r="AS90" s="184">
        <v>26121420</v>
      </c>
      <c r="AT90" s="184">
        <v>0</v>
      </c>
      <c r="AU90" s="184">
        <v>570960</v>
      </c>
      <c r="AV90" s="184">
        <v>0</v>
      </c>
      <c r="AW90" s="184">
        <v>428220</v>
      </c>
      <c r="AX90" s="184">
        <v>44392140</v>
      </c>
      <c r="AY90" s="184">
        <v>356850</v>
      </c>
      <c r="AZ90" s="184">
        <v>17414280</v>
      </c>
      <c r="BA90" s="184">
        <v>6280560</v>
      </c>
      <c r="BB90" s="184">
        <v>1356030</v>
      </c>
      <c r="BC90" s="177" t="s">
        <v>200</v>
      </c>
      <c r="BD90" s="184">
        <v>3711240</v>
      </c>
      <c r="BE90" s="184">
        <v>3175965</v>
      </c>
      <c r="BF90" s="184">
        <v>1248975</v>
      </c>
      <c r="BG90" s="184">
        <v>25122240</v>
      </c>
      <c r="BH90" s="184">
        <v>892125</v>
      </c>
      <c r="BI90" s="184">
        <v>1855620</v>
      </c>
      <c r="BJ90" s="187" t="s">
        <v>200</v>
      </c>
    </row>
    <row r="91" spans="2:62" x14ac:dyDescent="0.2">
      <c r="B91" s="175">
        <v>45887</v>
      </c>
      <c r="C91" s="176">
        <v>45887.45856259259</v>
      </c>
      <c r="D91" s="177" t="s">
        <v>267</v>
      </c>
      <c r="E91" s="178" t="s">
        <v>268</v>
      </c>
      <c r="F91" s="179" t="s">
        <v>269</v>
      </c>
      <c r="G91" s="180">
        <v>70.209999999999994</v>
      </c>
      <c r="H91" s="181">
        <v>68.05</v>
      </c>
      <c r="I91" s="181">
        <v>120</v>
      </c>
      <c r="J91" s="181">
        <v>70.84</v>
      </c>
      <c r="K91" s="182">
        <v>69.95</v>
      </c>
      <c r="L91" s="183">
        <v>3245500</v>
      </c>
      <c r="M91" s="184">
        <v>5175000</v>
      </c>
      <c r="N91" s="184">
        <v>94</v>
      </c>
      <c r="O91" s="184">
        <v>29</v>
      </c>
      <c r="P91" s="181">
        <v>3.62</v>
      </c>
      <c r="Q91" s="184">
        <v>55053</v>
      </c>
      <c r="R91" s="184">
        <v>199038</v>
      </c>
      <c r="S91" s="184">
        <v>228243</v>
      </c>
      <c r="T91" s="184">
        <v>170816</v>
      </c>
      <c r="U91" s="184">
        <v>197793</v>
      </c>
      <c r="V91" s="182">
        <v>1.59</v>
      </c>
      <c r="W91" s="183">
        <v>26</v>
      </c>
      <c r="X91" s="185">
        <v>19</v>
      </c>
      <c r="Y91" s="183">
        <v>227866555</v>
      </c>
      <c r="Z91" s="179" t="s">
        <v>270</v>
      </c>
      <c r="AA91" s="183">
        <v>2036090</v>
      </c>
      <c r="AB91" s="184">
        <v>3510500</v>
      </c>
      <c r="AC91" s="184">
        <v>5581695</v>
      </c>
      <c r="AD91" s="184">
        <v>737205</v>
      </c>
      <c r="AE91" s="184">
        <v>3791340</v>
      </c>
      <c r="AF91" s="177" t="s">
        <v>200</v>
      </c>
      <c r="AG91" s="184">
        <v>1965880</v>
      </c>
      <c r="AH91" s="184">
        <v>1720145</v>
      </c>
      <c r="AI91" s="184">
        <v>7652890</v>
      </c>
      <c r="AJ91" s="184">
        <v>17447185</v>
      </c>
      <c r="AK91" s="184">
        <v>2738190</v>
      </c>
      <c r="AL91" s="184">
        <v>10355975</v>
      </c>
      <c r="AM91" s="184">
        <v>772310</v>
      </c>
      <c r="AN91" s="184">
        <v>2948820</v>
      </c>
      <c r="AO91" s="184">
        <v>842520</v>
      </c>
      <c r="AP91" s="184">
        <v>17517395</v>
      </c>
      <c r="AQ91" s="184">
        <v>35105</v>
      </c>
      <c r="AR91" s="184">
        <v>17447185</v>
      </c>
      <c r="AS91" s="184">
        <v>25696860</v>
      </c>
      <c r="AT91" s="184">
        <v>0</v>
      </c>
      <c r="AU91" s="184">
        <v>561680</v>
      </c>
      <c r="AV91" s="184">
        <v>0</v>
      </c>
      <c r="AW91" s="184">
        <v>421260</v>
      </c>
      <c r="AX91" s="184">
        <v>43670620</v>
      </c>
      <c r="AY91" s="184">
        <v>351050</v>
      </c>
      <c r="AZ91" s="184">
        <v>17131240</v>
      </c>
      <c r="BA91" s="184">
        <v>6178480</v>
      </c>
      <c r="BB91" s="184">
        <v>1333990</v>
      </c>
      <c r="BC91" s="177" t="s">
        <v>200</v>
      </c>
      <c r="BD91" s="184">
        <v>3650920</v>
      </c>
      <c r="BE91" s="184">
        <v>3124345</v>
      </c>
      <c r="BF91" s="184">
        <v>1228675</v>
      </c>
      <c r="BG91" s="184">
        <v>24713920</v>
      </c>
      <c r="BH91" s="184">
        <v>877625</v>
      </c>
      <c r="BI91" s="184">
        <v>1825460</v>
      </c>
      <c r="BJ91" s="187" t="s">
        <v>200</v>
      </c>
    </row>
    <row r="92" spans="2:62" x14ac:dyDescent="0.2">
      <c r="B92" s="175">
        <v>45884</v>
      </c>
      <c r="C92" s="176">
        <v>45884.458822731482</v>
      </c>
      <c r="D92" s="177" t="s">
        <v>271</v>
      </c>
      <c r="E92" s="178" t="s">
        <v>268</v>
      </c>
      <c r="F92" s="179" t="s">
        <v>269</v>
      </c>
      <c r="G92" s="180">
        <v>70.13</v>
      </c>
      <c r="H92" s="181">
        <v>65</v>
      </c>
      <c r="I92" s="181">
        <v>80</v>
      </c>
      <c r="J92" s="181">
        <v>70.03</v>
      </c>
      <c r="K92" s="182">
        <v>69.92</v>
      </c>
      <c r="L92" s="183">
        <v>1607000</v>
      </c>
      <c r="M92" s="184">
        <v>3512500</v>
      </c>
      <c r="N92" s="184">
        <v>76</v>
      </c>
      <c r="O92" s="184">
        <v>18</v>
      </c>
      <c r="P92" s="181">
        <v>3.8</v>
      </c>
      <c r="Q92" s="184">
        <v>46217</v>
      </c>
      <c r="R92" s="184">
        <v>175625</v>
      </c>
      <c r="S92" s="184">
        <v>170176</v>
      </c>
      <c r="T92" s="184">
        <v>123615</v>
      </c>
      <c r="U92" s="184">
        <v>137252</v>
      </c>
      <c r="V92" s="182">
        <v>2.19</v>
      </c>
      <c r="W92" s="183">
        <v>20</v>
      </c>
      <c r="X92" s="185">
        <v>13</v>
      </c>
      <c r="Y92" s="183">
        <v>112698910</v>
      </c>
      <c r="Z92" s="179" t="s">
        <v>272</v>
      </c>
      <c r="AA92" s="186" t="s">
        <v>200</v>
      </c>
      <c r="AB92" s="177" t="s">
        <v>200</v>
      </c>
      <c r="AC92" s="177" t="s">
        <v>200</v>
      </c>
      <c r="AD92" s="177" t="s">
        <v>200</v>
      </c>
      <c r="AE92" s="177" t="s">
        <v>200</v>
      </c>
      <c r="AF92" s="184">
        <v>112698910</v>
      </c>
      <c r="AG92" s="177" t="s">
        <v>200</v>
      </c>
      <c r="AH92" s="177" t="s">
        <v>200</v>
      </c>
      <c r="AI92" s="177" t="s">
        <v>200</v>
      </c>
      <c r="AJ92" s="177" t="s">
        <v>200</v>
      </c>
      <c r="AK92" s="177" t="s">
        <v>200</v>
      </c>
      <c r="AL92" s="177" t="s">
        <v>200</v>
      </c>
      <c r="AM92" s="177" t="s">
        <v>200</v>
      </c>
      <c r="AN92" s="177" t="s">
        <v>200</v>
      </c>
      <c r="AO92" s="177" t="s">
        <v>200</v>
      </c>
      <c r="AP92" s="177" t="s">
        <v>200</v>
      </c>
      <c r="AQ92" s="177" t="s">
        <v>200</v>
      </c>
      <c r="AR92" s="177" t="s">
        <v>200</v>
      </c>
      <c r="AS92" s="177" t="s">
        <v>200</v>
      </c>
      <c r="AT92" s="177" t="s">
        <v>200</v>
      </c>
      <c r="AU92" s="177" t="s">
        <v>200</v>
      </c>
      <c r="AV92" s="177" t="s">
        <v>200</v>
      </c>
      <c r="AW92" s="177" t="s">
        <v>200</v>
      </c>
      <c r="AX92" s="177" t="s">
        <v>200</v>
      </c>
      <c r="AY92" s="177" t="s">
        <v>200</v>
      </c>
      <c r="AZ92" s="177" t="s">
        <v>200</v>
      </c>
      <c r="BA92" s="177" t="s">
        <v>200</v>
      </c>
      <c r="BB92" s="177" t="s">
        <v>200</v>
      </c>
      <c r="BC92" s="177" t="s">
        <v>200</v>
      </c>
      <c r="BD92" s="177" t="s">
        <v>200</v>
      </c>
      <c r="BE92" s="177" t="s">
        <v>200</v>
      </c>
      <c r="BF92" s="177" t="s">
        <v>200</v>
      </c>
      <c r="BG92" s="177" t="s">
        <v>200</v>
      </c>
      <c r="BH92" s="177" t="s">
        <v>200</v>
      </c>
      <c r="BI92" s="177" t="s">
        <v>200</v>
      </c>
      <c r="BJ92" s="187" t="s">
        <v>200</v>
      </c>
    </row>
    <row r="93" spans="2:62" x14ac:dyDescent="0.2">
      <c r="B93" s="175">
        <v>45883</v>
      </c>
      <c r="C93" s="176">
        <v>45883.458822638888</v>
      </c>
      <c r="D93" s="177" t="s">
        <v>267</v>
      </c>
      <c r="E93" s="178" t="s">
        <v>268</v>
      </c>
      <c r="F93" s="179" t="s">
        <v>269</v>
      </c>
      <c r="G93" s="180">
        <v>70.540000000000006</v>
      </c>
      <c r="H93" s="181">
        <v>69.2</v>
      </c>
      <c r="I93" s="181">
        <v>80</v>
      </c>
      <c r="J93" s="181">
        <v>71.03</v>
      </c>
      <c r="K93" s="182">
        <v>70.489999999999995</v>
      </c>
      <c r="L93" s="183">
        <v>3245500</v>
      </c>
      <c r="M93" s="184">
        <v>4824500</v>
      </c>
      <c r="N93" s="184">
        <v>83</v>
      </c>
      <c r="O93" s="184">
        <v>34</v>
      </c>
      <c r="P93" s="181">
        <v>3.46</v>
      </c>
      <c r="Q93" s="184">
        <v>58127</v>
      </c>
      <c r="R93" s="184">
        <v>201021</v>
      </c>
      <c r="S93" s="184">
        <v>255152</v>
      </c>
      <c r="T93" s="184">
        <v>180306</v>
      </c>
      <c r="U93" s="184">
        <v>226187</v>
      </c>
      <c r="V93" s="182">
        <v>1.49</v>
      </c>
      <c r="W93" s="183">
        <v>24</v>
      </c>
      <c r="X93" s="185">
        <v>18</v>
      </c>
      <c r="Y93" s="183">
        <v>228937570</v>
      </c>
      <c r="Z93" s="179" t="s">
        <v>270</v>
      </c>
      <c r="AA93" s="183">
        <v>2045660</v>
      </c>
      <c r="AB93" s="184">
        <v>3527000</v>
      </c>
      <c r="AC93" s="184">
        <v>5607930</v>
      </c>
      <c r="AD93" s="184">
        <v>740670</v>
      </c>
      <c r="AE93" s="184">
        <v>3809160</v>
      </c>
      <c r="AF93" s="177" t="s">
        <v>200</v>
      </c>
      <c r="AG93" s="184">
        <v>1975120</v>
      </c>
      <c r="AH93" s="184">
        <v>1728230</v>
      </c>
      <c r="AI93" s="184">
        <v>7688860</v>
      </c>
      <c r="AJ93" s="184">
        <v>17529190</v>
      </c>
      <c r="AK93" s="184">
        <v>2751060</v>
      </c>
      <c r="AL93" s="184">
        <v>10404650</v>
      </c>
      <c r="AM93" s="184">
        <v>775940</v>
      </c>
      <c r="AN93" s="184">
        <v>2962680</v>
      </c>
      <c r="AO93" s="184">
        <v>846480</v>
      </c>
      <c r="AP93" s="184">
        <v>17599730</v>
      </c>
      <c r="AQ93" s="184">
        <v>35270</v>
      </c>
      <c r="AR93" s="184">
        <v>17529190</v>
      </c>
      <c r="AS93" s="184">
        <v>25817640</v>
      </c>
      <c r="AT93" s="184">
        <v>0</v>
      </c>
      <c r="AU93" s="184">
        <v>564320</v>
      </c>
      <c r="AV93" s="184">
        <v>0</v>
      </c>
      <c r="AW93" s="184">
        <v>423240</v>
      </c>
      <c r="AX93" s="184">
        <v>43875880</v>
      </c>
      <c r="AY93" s="184">
        <v>352700</v>
      </c>
      <c r="AZ93" s="184">
        <v>17211760</v>
      </c>
      <c r="BA93" s="184">
        <v>6207520</v>
      </c>
      <c r="BB93" s="184">
        <v>1340260</v>
      </c>
      <c r="BC93" s="177" t="s">
        <v>200</v>
      </c>
      <c r="BD93" s="184">
        <v>3668080</v>
      </c>
      <c r="BE93" s="184">
        <v>3139030</v>
      </c>
      <c r="BF93" s="184">
        <v>1234450</v>
      </c>
      <c r="BG93" s="184">
        <v>24830080</v>
      </c>
      <c r="BH93" s="184">
        <v>881750</v>
      </c>
      <c r="BI93" s="184">
        <v>1834040</v>
      </c>
      <c r="BJ93" s="187" t="s">
        <v>200</v>
      </c>
    </row>
    <row r="94" spans="2:62" x14ac:dyDescent="0.2">
      <c r="B94" s="175">
        <v>45881</v>
      </c>
      <c r="C94" s="176">
        <v>45881.459394467594</v>
      </c>
      <c r="D94" s="177" t="s">
        <v>267</v>
      </c>
      <c r="E94" s="178" t="s">
        <v>268</v>
      </c>
      <c r="F94" s="179" t="s">
        <v>269</v>
      </c>
      <c r="G94" s="180">
        <v>71.3</v>
      </c>
      <c r="H94" s="181">
        <v>60</v>
      </c>
      <c r="I94" s="181">
        <v>80</v>
      </c>
      <c r="J94" s="181">
        <v>71.22</v>
      </c>
      <c r="K94" s="182">
        <v>71.06</v>
      </c>
      <c r="L94" s="183">
        <v>3245500</v>
      </c>
      <c r="M94" s="184">
        <v>5125000</v>
      </c>
      <c r="N94" s="184">
        <v>86</v>
      </c>
      <c r="O94" s="184">
        <v>28</v>
      </c>
      <c r="P94" s="181">
        <v>3.74</v>
      </c>
      <c r="Q94" s="184">
        <v>59593</v>
      </c>
      <c r="R94" s="184">
        <v>222826</v>
      </c>
      <c r="S94" s="184">
        <v>271979</v>
      </c>
      <c r="T94" s="184">
        <v>202844</v>
      </c>
      <c r="U94" s="184">
        <v>273250</v>
      </c>
      <c r="V94" s="182">
        <v>1.58</v>
      </c>
      <c r="W94" s="183">
        <v>23</v>
      </c>
      <c r="X94" s="185">
        <v>16</v>
      </c>
      <c r="Y94" s="183">
        <v>231404150</v>
      </c>
      <c r="Z94" s="179" t="s">
        <v>270</v>
      </c>
      <c r="AA94" s="183">
        <v>2067700</v>
      </c>
      <c r="AB94" s="184">
        <v>3565000</v>
      </c>
      <c r="AC94" s="184">
        <v>5668350</v>
      </c>
      <c r="AD94" s="184">
        <v>748650</v>
      </c>
      <c r="AE94" s="184">
        <v>3850200</v>
      </c>
      <c r="AF94" s="177" t="s">
        <v>200</v>
      </c>
      <c r="AG94" s="184">
        <v>1996400</v>
      </c>
      <c r="AH94" s="184">
        <v>1746850</v>
      </c>
      <c r="AI94" s="184">
        <v>7771700</v>
      </c>
      <c r="AJ94" s="184">
        <v>17718050</v>
      </c>
      <c r="AK94" s="184">
        <v>2780700</v>
      </c>
      <c r="AL94" s="184">
        <v>10516750</v>
      </c>
      <c r="AM94" s="184">
        <v>784300</v>
      </c>
      <c r="AN94" s="184">
        <v>2994600</v>
      </c>
      <c r="AO94" s="184">
        <v>855600</v>
      </c>
      <c r="AP94" s="184">
        <v>17789350</v>
      </c>
      <c r="AQ94" s="184">
        <v>35650</v>
      </c>
      <c r="AR94" s="184">
        <v>17718050</v>
      </c>
      <c r="AS94" s="184">
        <v>26095800</v>
      </c>
      <c r="AT94" s="184">
        <v>0</v>
      </c>
      <c r="AU94" s="184">
        <v>570400</v>
      </c>
      <c r="AV94" s="184">
        <v>0</v>
      </c>
      <c r="AW94" s="184">
        <v>427800</v>
      </c>
      <c r="AX94" s="184">
        <v>44348600</v>
      </c>
      <c r="AY94" s="184">
        <v>356500</v>
      </c>
      <c r="AZ94" s="184">
        <v>17397200</v>
      </c>
      <c r="BA94" s="184">
        <v>6274400</v>
      </c>
      <c r="BB94" s="184">
        <v>1354700</v>
      </c>
      <c r="BC94" s="177" t="s">
        <v>200</v>
      </c>
      <c r="BD94" s="184">
        <v>3707600</v>
      </c>
      <c r="BE94" s="184">
        <v>3172850</v>
      </c>
      <c r="BF94" s="184">
        <v>1247750</v>
      </c>
      <c r="BG94" s="184">
        <v>25097600</v>
      </c>
      <c r="BH94" s="184">
        <v>891250</v>
      </c>
      <c r="BI94" s="184">
        <v>1853800</v>
      </c>
      <c r="BJ94" s="187" t="s">
        <v>200</v>
      </c>
    </row>
    <row r="95" spans="2:62" x14ac:dyDescent="0.2">
      <c r="B95" s="175">
        <v>45880</v>
      </c>
      <c r="C95" s="176">
        <v>45880.458733993059</v>
      </c>
      <c r="D95" s="177" t="s">
        <v>267</v>
      </c>
      <c r="E95" s="178" t="s">
        <v>268</v>
      </c>
      <c r="F95" s="179" t="s">
        <v>269</v>
      </c>
      <c r="G95" s="180">
        <v>72.180000000000007</v>
      </c>
      <c r="H95" s="181">
        <v>70.63</v>
      </c>
      <c r="I95" s="181">
        <v>80</v>
      </c>
      <c r="J95" s="181">
        <v>72.260000000000005</v>
      </c>
      <c r="K95" s="182">
        <v>71.91</v>
      </c>
      <c r="L95" s="183">
        <v>3245500</v>
      </c>
      <c r="M95" s="184">
        <v>4734000</v>
      </c>
      <c r="N95" s="184">
        <v>81</v>
      </c>
      <c r="O95" s="184">
        <v>25</v>
      </c>
      <c r="P95" s="181">
        <v>4.26</v>
      </c>
      <c r="Q95" s="184">
        <v>58444</v>
      </c>
      <c r="R95" s="184">
        <v>249158</v>
      </c>
      <c r="S95" s="184">
        <v>309278</v>
      </c>
      <c r="T95" s="184">
        <v>249654</v>
      </c>
      <c r="U95" s="184">
        <v>333843</v>
      </c>
      <c r="V95" s="182">
        <v>1.46</v>
      </c>
      <c r="W95" s="183">
        <v>19</v>
      </c>
      <c r="X95" s="185">
        <v>13</v>
      </c>
      <c r="Y95" s="183">
        <v>234260190</v>
      </c>
      <c r="Z95" s="179" t="s">
        <v>270</v>
      </c>
      <c r="AA95" s="183">
        <v>2093220</v>
      </c>
      <c r="AB95" s="184">
        <v>3609000</v>
      </c>
      <c r="AC95" s="184">
        <v>5738310</v>
      </c>
      <c r="AD95" s="184">
        <v>757890</v>
      </c>
      <c r="AE95" s="184">
        <v>3897720</v>
      </c>
      <c r="AF95" s="177" t="s">
        <v>200</v>
      </c>
      <c r="AG95" s="184">
        <v>2021040</v>
      </c>
      <c r="AH95" s="184">
        <v>1768410</v>
      </c>
      <c r="AI95" s="184">
        <v>7867620</v>
      </c>
      <c r="AJ95" s="184">
        <v>17936730</v>
      </c>
      <c r="AK95" s="184">
        <v>2815020</v>
      </c>
      <c r="AL95" s="184">
        <v>10646550</v>
      </c>
      <c r="AM95" s="184">
        <v>793980</v>
      </c>
      <c r="AN95" s="184">
        <v>3031560</v>
      </c>
      <c r="AO95" s="184">
        <v>866160</v>
      </c>
      <c r="AP95" s="184">
        <v>18008910</v>
      </c>
      <c r="AQ95" s="184">
        <v>36090</v>
      </c>
      <c r="AR95" s="184">
        <v>17936730</v>
      </c>
      <c r="AS95" s="184">
        <v>26417880</v>
      </c>
      <c r="AT95" s="184">
        <v>0</v>
      </c>
      <c r="AU95" s="184">
        <v>577440</v>
      </c>
      <c r="AV95" s="184">
        <v>0</v>
      </c>
      <c r="AW95" s="184">
        <v>433080</v>
      </c>
      <c r="AX95" s="184">
        <v>44895960</v>
      </c>
      <c r="AY95" s="184">
        <v>360900</v>
      </c>
      <c r="AZ95" s="184">
        <v>17611920</v>
      </c>
      <c r="BA95" s="184">
        <v>6351840</v>
      </c>
      <c r="BB95" s="184">
        <v>1371420</v>
      </c>
      <c r="BC95" s="177" t="s">
        <v>200</v>
      </c>
      <c r="BD95" s="184">
        <v>3753360</v>
      </c>
      <c r="BE95" s="184">
        <v>3212010</v>
      </c>
      <c r="BF95" s="184">
        <v>1263150</v>
      </c>
      <c r="BG95" s="184">
        <v>25407360</v>
      </c>
      <c r="BH95" s="184">
        <v>902250</v>
      </c>
      <c r="BI95" s="184">
        <v>1876680</v>
      </c>
      <c r="BJ95" s="187" t="s">
        <v>200</v>
      </c>
    </row>
    <row r="96" spans="2:62" x14ac:dyDescent="0.2">
      <c r="B96" s="175">
        <v>45877</v>
      </c>
      <c r="C96" s="176">
        <v>45877.458670011576</v>
      </c>
      <c r="D96" s="177" t="s">
        <v>271</v>
      </c>
      <c r="E96" s="178" t="s">
        <v>268</v>
      </c>
      <c r="F96" s="179" t="s">
        <v>269</v>
      </c>
      <c r="G96" s="180">
        <v>72.14</v>
      </c>
      <c r="H96" s="181">
        <v>50</v>
      </c>
      <c r="I96" s="181">
        <v>80</v>
      </c>
      <c r="J96" s="181">
        <v>71.72</v>
      </c>
      <c r="K96" s="182">
        <v>71.87</v>
      </c>
      <c r="L96" s="183">
        <v>1607000</v>
      </c>
      <c r="M96" s="184">
        <v>2685500</v>
      </c>
      <c r="N96" s="184">
        <v>81</v>
      </c>
      <c r="O96" s="184">
        <v>21</v>
      </c>
      <c r="P96" s="181">
        <v>3.86</v>
      </c>
      <c r="Q96" s="184">
        <v>33154</v>
      </c>
      <c r="R96" s="184">
        <v>127881</v>
      </c>
      <c r="S96" s="184">
        <v>161492</v>
      </c>
      <c r="T96" s="184">
        <v>133917</v>
      </c>
      <c r="U96" s="184">
        <v>204643</v>
      </c>
      <c r="V96" s="182">
        <v>1.67</v>
      </c>
      <c r="W96" s="183">
        <v>21</v>
      </c>
      <c r="X96" s="185">
        <v>12</v>
      </c>
      <c r="Y96" s="183">
        <v>115928980</v>
      </c>
      <c r="Z96" s="179" t="s">
        <v>272</v>
      </c>
      <c r="AA96" s="186" t="s">
        <v>200</v>
      </c>
      <c r="AB96" s="177" t="s">
        <v>200</v>
      </c>
      <c r="AC96" s="177" t="s">
        <v>200</v>
      </c>
      <c r="AD96" s="177" t="s">
        <v>200</v>
      </c>
      <c r="AE96" s="177" t="s">
        <v>200</v>
      </c>
      <c r="AF96" s="184">
        <v>115928980</v>
      </c>
      <c r="AG96" s="177" t="s">
        <v>200</v>
      </c>
      <c r="AH96" s="177" t="s">
        <v>200</v>
      </c>
      <c r="AI96" s="177" t="s">
        <v>200</v>
      </c>
      <c r="AJ96" s="177" t="s">
        <v>200</v>
      </c>
      <c r="AK96" s="177" t="s">
        <v>200</v>
      </c>
      <c r="AL96" s="177" t="s">
        <v>200</v>
      </c>
      <c r="AM96" s="177" t="s">
        <v>200</v>
      </c>
      <c r="AN96" s="177" t="s">
        <v>200</v>
      </c>
      <c r="AO96" s="177" t="s">
        <v>200</v>
      </c>
      <c r="AP96" s="177" t="s">
        <v>200</v>
      </c>
      <c r="AQ96" s="177" t="s">
        <v>200</v>
      </c>
      <c r="AR96" s="177" t="s">
        <v>200</v>
      </c>
      <c r="AS96" s="177" t="s">
        <v>200</v>
      </c>
      <c r="AT96" s="177" t="s">
        <v>200</v>
      </c>
      <c r="AU96" s="177" t="s">
        <v>200</v>
      </c>
      <c r="AV96" s="177" t="s">
        <v>200</v>
      </c>
      <c r="AW96" s="177" t="s">
        <v>200</v>
      </c>
      <c r="AX96" s="177" t="s">
        <v>200</v>
      </c>
      <c r="AY96" s="177" t="s">
        <v>200</v>
      </c>
      <c r="AZ96" s="177" t="s">
        <v>200</v>
      </c>
      <c r="BA96" s="177" t="s">
        <v>200</v>
      </c>
      <c r="BB96" s="177" t="s">
        <v>200</v>
      </c>
      <c r="BC96" s="177" t="s">
        <v>200</v>
      </c>
      <c r="BD96" s="177" t="s">
        <v>200</v>
      </c>
      <c r="BE96" s="177" t="s">
        <v>200</v>
      </c>
      <c r="BF96" s="177" t="s">
        <v>200</v>
      </c>
      <c r="BG96" s="177" t="s">
        <v>200</v>
      </c>
      <c r="BH96" s="177" t="s">
        <v>200</v>
      </c>
      <c r="BI96" s="177" t="s">
        <v>200</v>
      </c>
      <c r="BJ96" s="187" t="s">
        <v>200</v>
      </c>
    </row>
    <row r="97" spans="2:62" x14ac:dyDescent="0.2">
      <c r="B97" s="175">
        <v>45876</v>
      </c>
      <c r="C97" s="176">
        <v>45876.458955925926</v>
      </c>
      <c r="D97" s="177" t="s">
        <v>267</v>
      </c>
      <c r="E97" s="178" t="s">
        <v>268</v>
      </c>
      <c r="F97" s="179" t="s">
        <v>269</v>
      </c>
      <c r="G97" s="180">
        <v>70.099999999999994</v>
      </c>
      <c r="H97" s="181">
        <v>68</v>
      </c>
      <c r="I97" s="181">
        <v>120</v>
      </c>
      <c r="J97" s="181">
        <v>70.760000000000005</v>
      </c>
      <c r="K97" s="182">
        <v>69.88</v>
      </c>
      <c r="L97" s="183">
        <v>3245500</v>
      </c>
      <c r="M97" s="184">
        <v>5493500</v>
      </c>
      <c r="N97" s="184">
        <v>93</v>
      </c>
      <c r="O97" s="184">
        <v>28</v>
      </c>
      <c r="P97" s="181">
        <v>4.04</v>
      </c>
      <c r="Q97" s="184">
        <v>59070</v>
      </c>
      <c r="R97" s="184">
        <v>238848</v>
      </c>
      <c r="S97" s="184">
        <v>352314</v>
      </c>
      <c r="T97" s="184">
        <v>180306</v>
      </c>
      <c r="U97" s="184">
        <v>328712</v>
      </c>
      <c r="V97" s="182">
        <v>1.69</v>
      </c>
      <c r="W97" s="183">
        <v>23</v>
      </c>
      <c r="X97" s="185">
        <v>18</v>
      </c>
      <c r="Y97" s="183">
        <v>227509550</v>
      </c>
      <c r="Z97" s="179" t="s">
        <v>270</v>
      </c>
      <c r="AA97" s="183">
        <v>2032900</v>
      </c>
      <c r="AB97" s="184">
        <v>3505000</v>
      </c>
      <c r="AC97" s="184">
        <v>5572950</v>
      </c>
      <c r="AD97" s="184">
        <v>736050</v>
      </c>
      <c r="AE97" s="184">
        <v>3785400</v>
      </c>
      <c r="AF97" s="177" t="s">
        <v>200</v>
      </c>
      <c r="AG97" s="184">
        <v>1962800</v>
      </c>
      <c r="AH97" s="184">
        <v>1717450</v>
      </c>
      <c r="AI97" s="184">
        <v>7640900</v>
      </c>
      <c r="AJ97" s="184">
        <v>17419850</v>
      </c>
      <c r="AK97" s="184">
        <v>2733900</v>
      </c>
      <c r="AL97" s="184">
        <v>10339750</v>
      </c>
      <c r="AM97" s="184">
        <v>771100</v>
      </c>
      <c r="AN97" s="184">
        <v>2944200</v>
      </c>
      <c r="AO97" s="184">
        <v>841200</v>
      </c>
      <c r="AP97" s="184">
        <v>17489950</v>
      </c>
      <c r="AQ97" s="184">
        <v>35050</v>
      </c>
      <c r="AR97" s="184">
        <v>17419850</v>
      </c>
      <c r="AS97" s="184">
        <v>25656600</v>
      </c>
      <c r="AT97" s="184">
        <v>0</v>
      </c>
      <c r="AU97" s="184">
        <v>560800</v>
      </c>
      <c r="AV97" s="184">
        <v>0</v>
      </c>
      <c r="AW97" s="184">
        <v>420600</v>
      </c>
      <c r="AX97" s="184">
        <v>43602200</v>
      </c>
      <c r="AY97" s="184">
        <v>350500</v>
      </c>
      <c r="AZ97" s="184">
        <v>17104400</v>
      </c>
      <c r="BA97" s="184">
        <v>6168800</v>
      </c>
      <c r="BB97" s="184">
        <v>1331900</v>
      </c>
      <c r="BC97" s="177" t="s">
        <v>200</v>
      </c>
      <c r="BD97" s="184">
        <v>3645200</v>
      </c>
      <c r="BE97" s="184">
        <v>3119450</v>
      </c>
      <c r="BF97" s="184">
        <v>1226750</v>
      </c>
      <c r="BG97" s="184">
        <v>24675200</v>
      </c>
      <c r="BH97" s="184">
        <v>876250</v>
      </c>
      <c r="BI97" s="184">
        <v>1822600</v>
      </c>
      <c r="BJ97" s="187" t="s">
        <v>200</v>
      </c>
    </row>
    <row r="98" spans="2:62" x14ac:dyDescent="0.2">
      <c r="B98" s="175">
        <v>45875</v>
      </c>
      <c r="C98" s="176">
        <v>45875.458559722225</v>
      </c>
      <c r="D98" s="177" t="s">
        <v>273</v>
      </c>
      <c r="E98" s="178" t="s">
        <v>268</v>
      </c>
      <c r="F98" s="179" t="s">
        <v>269</v>
      </c>
      <c r="G98" s="180">
        <v>70.739999999999995</v>
      </c>
      <c r="H98" s="181">
        <v>68</v>
      </c>
      <c r="I98" s="181">
        <v>72.88</v>
      </c>
      <c r="J98" s="181">
        <v>70.56</v>
      </c>
      <c r="K98" s="182">
        <v>70.52</v>
      </c>
      <c r="L98" s="183">
        <v>2072500</v>
      </c>
      <c r="M98" s="184">
        <v>3621000</v>
      </c>
      <c r="N98" s="184">
        <v>83</v>
      </c>
      <c r="O98" s="184">
        <v>18</v>
      </c>
      <c r="P98" s="181">
        <v>3.77</v>
      </c>
      <c r="Q98" s="184">
        <v>43627</v>
      </c>
      <c r="R98" s="184">
        <v>164591</v>
      </c>
      <c r="S98" s="184">
        <v>219581</v>
      </c>
      <c r="T98" s="184">
        <v>172708</v>
      </c>
      <c r="U98" s="184">
        <v>230181</v>
      </c>
      <c r="V98" s="182">
        <v>1.75</v>
      </c>
      <c r="W98" s="183">
        <v>22</v>
      </c>
      <c r="X98" s="185">
        <v>12</v>
      </c>
      <c r="Y98" s="183">
        <v>146608650</v>
      </c>
      <c r="Z98" s="179" t="s">
        <v>274</v>
      </c>
      <c r="AA98" s="186" t="s">
        <v>200</v>
      </c>
      <c r="AB98" s="177" t="s">
        <v>200</v>
      </c>
      <c r="AC98" s="177" t="s">
        <v>200</v>
      </c>
      <c r="AD98" s="177" t="s">
        <v>200</v>
      </c>
      <c r="AE98" s="177" t="s">
        <v>200</v>
      </c>
      <c r="AF98" s="177" t="s">
        <v>200</v>
      </c>
      <c r="AG98" s="177" t="s">
        <v>200</v>
      </c>
      <c r="AH98" s="177" t="s">
        <v>200</v>
      </c>
      <c r="AI98" s="177" t="s">
        <v>200</v>
      </c>
      <c r="AJ98" s="177" t="s">
        <v>200</v>
      </c>
      <c r="AK98" s="177" t="s">
        <v>200</v>
      </c>
      <c r="AL98" s="177" t="s">
        <v>200</v>
      </c>
      <c r="AM98" s="177" t="s">
        <v>200</v>
      </c>
      <c r="AN98" s="177" t="s">
        <v>200</v>
      </c>
      <c r="AO98" s="177" t="s">
        <v>200</v>
      </c>
      <c r="AP98" s="177" t="s">
        <v>200</v>
      </c>
      <c r="AQ98" s="177" t="s">
        <v>200</v>
      </c>
      <c r="AR98" s="177" t="s">
        <v>200</v>
      </c>
      <c r="AS98" s="177" t="s">
        <v>200</v>
      </c>
      <c r="AT98" s="177" t="s">
        <v>200</v>
      </c>
      <c r="AU98" s="177" t="s">
        <v>200</v>
      </c>
      <c r="AV98" s="177" t="s">
        <v>200</v>
      </c>
      <c r="AW98" s="177" t="s">
        <v>200</v>
      </c>
      <c r="AX98" s="177" t="s">
        <v>200</v>
      </c>
      <c r="AY98" s="177" t="s">
        <v>200</v>
      </c>
      <c r="AZ98" s="177" t="s">
        <v>200</v>
      </c>
      <c r="BA98" s="177" t="s">
        <v>200</v>
      </c>
      <c r="BB98" s="177" t="s">
        <v>200</v>
      </c>
      <c r="BC98" s="184">
        <v>146608650</v>
      </c>
      <c r="BD98" s="177" t="s">
        <v>200</v>
      </c>
      <c r="BE98" s="177" t="s">
        <v>200</v>
      </c>
      <c r="BF98" s="177" t="s">
        <v>200</v>
      </c>
      <c r="BG98" s="177" t="s">
        <v>200</v>
      </c>
      <c r="BH98" s="177" t="s">
        <v>200</v>
      </c>
      <c r="BI98" s="177" t="s">
        <v>200</v>
      </c>
      <c r="BJ98" s="187" t="s">
        <v>200</v>
      </c>
    </row>
    <row r="99" spans="2:62" x14ac:dyDescent="0.2">
      <c r="B99" s="175">
        <v>45874</v>
      </c>
      <c r="C99" s="176">
        <v>45874.459370671299</v>
      </c>
      <c r="D99" s="177" t="s">
        <v>267</v>
      </c>
      <c r="E99" s="178" t="s">
        <v>268</v>
      </c>
      <c r="F99" s="179" t="s">
        <v>269</v>
      </c>
      <c r="G99" s="180">
        <v>70.069999999999993</v>
      </c>
      <c r="H99" s="181">
        <v>68.900000000000006</v>
      </c>
      <c r="I99" s="181">
        <v>80</v>
      </c>
      <c r="J99" s="181">
        <v>70.260000000000005</v>
      </c>
      <c r="K99" s="182">
        <v>69.83</v>
      </c>
      <c r="L99" s="183">
        <v>3245500</v>
      </c>
      <c r="M99" s="184">
        <v>5202000</v>
      </c>
      <c r="N99" s="184">
        <v>88</v>
      </c>
      <c r="O99" s="184">
        <v>23</v>
      </c>
      <c r="P99" s="181">
        <v>4.63</v>
      </c>
      <c r="Q99" s="184">
        <v>59114</v>
      </c>
      <c r="R99" s="184">
        <v>273789</v>
      </c>
      <c r="S99" s="184">
        <v>325525</v>
      </c>
      <c r="T99" s="184">
        <v>231821</v>
      </c>
      <c r="U99" s="184">
        <v>271413</v>
      </c>
      <c r="V99" s="182">
        <v>1.6</v>
      </c>
      <c r="W99" s="183">
        <v>19</v>
      </c>
      <c r="X99" s="185">
        <v>14</v>
      </c>
      <c r="Y99" s="183">
        <v>227412185</v>
      </c>
      <c r="Z99" s="179" t="s">
        <v>270</v>
      </c>
      <c r="AA99" s="183">
        <v>2032030</v>
      </c>
      <c r="AB99" s="184">
        <v>3503500</v>
      </c>
      <c r="AC99" s="184">
        <v>5570565</v>
      </c>
      <c r="AD99" s="184">
        <v>735735</v>
      </c>
      <c r="AE99" s="184">
        <v>3783780</v>
      </c>
      <c r="AF99" s="177" t="s">
        <v>200</v>
      </c>
      <c r="AG99" s="184">
        <v>1961960</v>
      </c>
      <c r="AH99" s="184">
        <v>1716715</v>
      </c>
      <c r="AI99" s="184">
        <v>7637630</v>
      </c>
      <c r="AJ99" s="184">
        <v>17412395</v>
      </c>
      <c r="AK99" s="184">
        <v>2732730</v>
      </c>
      <c r="AL99" s="184">
        <v>10335325</v>
      </c>
      <c r="AM99" s="184">
        <v>770770</v>
      </c>
      <c r="AN99" s="184">
        <v>2942940</v>
      </c>
      <c r="AO99" s="184">
        <v>840840</v>
      </c>
      <c r="AP99" s="184">
        <v>17482465</v>
      </c>
      <c r="AQ99" s="184">
        <v>35035</v>
      </c>
      <c r="AR99" s="184">
        <v>17412395</v>
      </c>
      <c r="AS99" s="184">
        <v>25645620</v>
      </c>
      <c r="AT99" s="184">
        <v>0</v>
      </c>
      <c r="AU99" s="184">
        <v>560560</v>
      </c>
      <c r="AV99" s="184">
        <v>0</v>
      </c>
      <c r="AW99" s="184">
        <v>420420</v>
      </c>
      <c r="AX99" s="184">
        <v>43583540</v>
      </c>
      <c r="AY99" s="184">
        <v>350350</v>
      </c>
      <c r="AZ99" s="184">
        <v>17097080</v>
      </c>
      <c r="BA99" s="184">
        <v>6166160</v>
      </c>
      <c r="BB99" s="184">
        <v>1331330</v>
      </c>
      <c r="BC99" s="177" t="s">
        <v>200</v>
      </c>
      <c r="BD99" s="184">
        <v>3643640</v>
      </c>
      <c r="BE99" s="184">
        <v>3118115</v>
      </c>
      <c r="BF99" s="184">
        <v>1226225</v>
      </c>
      <c r="BG99" s="184">
        <v>24664640</v>
      </c>
      <c r="BH99" s="184">
        <v>875875</v>
      </c>
      <c r="BI99" s="184">
        <v>1821820</v>
      </c>
      <c r="BJ99" s="187" t="s">
        <v>200</v>
      </c>
    </row>
    <row r="100" spans="2:62" x14ac:dyDescent="0.2">
      <c r="B100" s="175">
        <v>45873</v>
      </c>
      <c r="C100" s="176">
        <v>45873.458695208334</v>
      </c>
      <c r="D100" s="177" t="s">
        <v>267</v>
      </c>
      <c r="E100" s="178" t="s">
        <v>268</v>
      </c>
      <c r="F100" s="179" t="s">
        <v>269</v>
      </c>
      <c r="G100" s="180">
        <v>69.52</v>
      </c>
      <c r="H100" s="181">
        <v>68</v>
      </c>
      <c r="I100" s="181">
        <v>80</v>
      </c>
      <c r="J100" s="181">
        <v>70.040000000000006</v>
      </c>
      <c r="K100" s="182">
        <v>69.44</v>
      </c>
      <c r="L100" s="183">
        <v>3245500</v>
      </c>
      <c r="M100" s="184">
        <v>4761500</v>
      </c>
      <c r="N100" s="184">
        <v>105</v>
      </c>
      <c r="O100" s="184">
        <v>48</v>
      </c>
      <c r="P100" s="181">
        <v>4.57</v>
      </c>
      <c r="Q100" s="184">
        <v>45348</v>
      </c>
      <c r="R100" s="184">
        <v>207022</v>
      </c>
      <c r="S100" s="184">
        <v>316887</v>
      </c>
      <c r="T100" s="184">
        <v>154548</v>
      </c>
      <c r="U100" s="184">
        <v>298322</v>
      </c>
      <c r="V100" s="182">
        <v>1.47</v>
      </c>
      <c r="W100" s="183">
        <v>23</v>
      </c>
      <c r="X100" s="185">
        <v>21</v>
      </c>
      <c r="Y100" s="183">
        <v>225627160</v>
      </c>
      <c r="Z100" s="179" t="s">
        <v>270</v>
      </c>
      <c r="AA100" s="183">
        <v>2016080</v>
      </c>
      <c r="AB100" s="184">
        <v>3476000</v>
      </c>
      <c r="AC100" s="184">
        <v>5526840</v>
      </c>
      <c r="AD100" s="184">
        <v>729960</v>
      </c>
      <c r="AE100" s="184">
        <v>3754080</v>
      </c>
      <c r="AF100" s="177" t="s">
        <v>200</v>
      </c>
      <c r="AG100" s="184">
        <v>1946560</v>
      </c>
      <c r="AH100" s="184">
        <v>1703240</v>
      </c>
      <c r="AI100" s="184">
        <v>7577680</v>
      </c>
      <c r="AJ100" s="184">
        <v>17275720</v>
      </c>
      <c r="AK100" s="184">
        <v>2711280</v>
      </c>
      <c r="AL100" s="184">
        <v>10254200</v>
      </c>
      <c r="AM100" s="184">
        <v>764720</v>
      </c>
      <c r="AN100" s="184">
        <v>2919840</v>
      </c>
      <c r="AO100" s="184">
        <v>834240</v>
      </c>
      <c r="AP100" s="184">
        <v>17345240</v>
      </c>
      <c r="AQ100" s="184">
        <v>34760</v>
      </c>
      <c r="AR100" s="184">
        <v>17275720</v>
      </c>
      <c r="AS100" s="184">
        <v>25444320</v>
      </c>
      <c r="AT100" s="184">
        <v>0</v>
      </c>
      <c r="AU100" s="184">
        <v>556160</v>
      </c>
      <c r="AV100" s="184">
        <v>0</v>
      </c>
      <c r="AW100" s="184">
        <v>417120</v>
      </c>
      <c r="AX100" s="184">
        <v>43241440</v>
      </c>
      <c r="AY100" s="184">
        <v>347600</v>
      </c>
      <c r="AZ100" s="184">
        <v>16962880</v>
      </c>
      <c r="BA100" s="184">
        <v>6117760</v>
      </c>
      <c r="BB100" s="184">
        <v>1320880</v>
      </c>
      <c r="BC100" s="177" t="s">
        <v>200</v>
      </c>
      <c r="BD100" s="184">
        <v>3615040</v>
      </c>
      <c r="BE100" s="184">
        <v>3093640</v>
      </c>
      <c r="BF100" s="184">
        <v>1216600</v>
      </c>
      <c r="BG100" s="184">
        <v>24471040</v>
      </c>
      <c r="BH100" s="184">
        <v>869000</v>
      </c>
      <c r="BI100" s="184">
        <v>1807520</v>
      </c>
      <c r="BJ100" s="187" t="s">
        <v>200</v>
      </c>
    </row>
    <row r="101" spans="2:62" x14ac:dyDescent="0.2">
      <c r="B101" s="175">
        <v>45870</v>
      </c>
      <c r="C101" s="176">
        <v>45870.458642303238</v>
      </c>
      <c r="D101" s="177" t="s">
        <v>271</v>
      </c>
      <c r="E101" s="178" t="s">
        <v>268</v>
      </c>
      <c r="F101" s="179" t="s">
        <v>269</v>
      </c>
      <c r="G101" s="180">
        <v>71.14</v>
      </c>
      <c r="H101" s="181">
        <v>69.5</v>
      </c>
      <c r="I101" s="181">
        <v>80</v>
      </c>
      <c r="J101" s="181">
        <v>71.47</v>
      </c>
      <c r="K101" s="182">
        <v>71.14</v>
      </c>
      <c r="L101" s="183">
        <v>1607000</v>
      </c>
      <c r="M101" s="184">
        <v>2813000</v>
      </c>
      <c r="N101" s="184">
        <v>71</v>
      </c>
      <c r="O101" s="184">
        <v>36</v>
      </c>
      <c r="P101" s="181">
        <v>3.94</v>
      </c>
      <c r="Q101" s="184">
        <v>39620</v>
      </c>
      <c r="R101" s="184">
        <v>156278</v>
      </c>
      <c r="S101" s="184">
        <v>204433</v>
      </c>
      <c r="T101" s="184">
        <v>100438</v>
      </c>
      <c r="U101" s="184">
        <v>157979</v>
      </c>
      <c r="V101" s="182">
        <v>1.75</v>
      </c>
      <c r="W101" s="183">
        <v>18</v>
      </c>
      <c r="X101" s="185">
        <v>16</v>
      </c>
      <c r="Y101" s="183">
        <v>114321980</v>
      </c>
      <c r="Z101" s="179" t="s">
        <v>272</v>
      </c>
      <c r="AA101" s="186" t="s">
        <v>200</v>
      </c>
      <c r="AB101" s="177" t="s">
        <v>200</v>
      </c>
      <c r="AC101" s="177" t="s">
        <v>200</v>
      </c>
      <c r="AD101" s="177" t="s">
        <v>200</v>
      </c>
      <c r="AE101" s="177" t="s">
        <v>200</v>
      </c>
      <c r="AF101" s="184">
        <v>114321980</v>
      </c>
      <c r="AG101" s="177" t="s">
        <v>200</v>
      </c>
      <c r="AH101" s="177" t="s">
        <v>200</v>
      </c>
      <c r="AI101" s="177" t="s">
        <v>200</v>
      </c>
      <c r="AJ101" s="177" t="s">
        <v>200</v>
      </c>
      <c r="AK101" s="177" t="s">
        <v>200</v>
      </c>
      <c r="AL101" s="177" t="s">
        <v>200</v>
      </c>
      <c r="AM101" s="177" t="s">
        <v>200</v>
      </c>
      <c r="AN101" s="177" t="s">
        <v>200</v>
      </c>
      <c r="AO101" s="177" t="s">
        <v>200</v>
      </c>
      <c r="AP101" s="177" t="s">
        <v>200</v>
      </c>
      <c r="AQ101" s="177" t="s">
        <v>200</v>
      </c>
      <c r="AR101" s="177" t="s">
        <v>200</v>
      </c>
      <c r="AS101" s="177" t="s">
        <v>200</v>
      </c>
      <c r="AT101" s="177" t="s">
        <v>200</v>
      </c>
      <c r="AU101" s="177" t="s">
        <v>200</v>
      </c>
      <c r="AV101" s="177" t="s">
        <v>200</v>
      </c>
      <c r="AW101" s="177" t="s">
        <v>200</v>
      </c>
      <c r="AX101" s="177" t="s">
        <v>200</v>
      </c>
      <c r="AY101" s="177" t="s">
        <v>200</v>
      </c>
      <c r="AZ101" s="177" t="s">
        <v>200</v>
      </c>
      <c r="BA101" s="177" t="s">
        <v>200</v>
      </c>
      <c r="BB101" s="177" t="s">
        <v>200</v>
      </c>
      <c r="BC101" s="177" t="s">
        <v>200</v>
      </c>
      <c r="BD101" s="177" t="s">
        <v>200</v>
      </c>
      <c r="BE101" s="177" t="s">
        <v>200</v>
      </c>
      <c r="BF101" s="177" t="s">
        <v>200</v>
      </c>
      <c r="BG101" s="177" t="s">
        <v>200</v>
      </c>
      <c r="BH101" s="177" t="s">
        <v>200</v>
      </c>
      <c r="BI101" s="177" t="s">
        <v>200</v>
      </c>
      <c r="BJ101" s="187" t="s">
        <v>200</v>
      </c>
    </row>
    <row r="102" spans="2:62" x14ac:dyDescent="0.2">
      <c r="B102" s="175">
        <v>45869</v>
      </c>
      <c r="C102" s="176">
        <v>45869.458697152775</v>
      </c>
      <c r="D102" s="177" t="s">
        <v>267</v>
      </c>
      <c r="E102" s="178" t="s">
        <v>268</v>
      </c>
      <c r="F102" s="179" t="s">
        <v>269</v>
      </c>
      <c r="G102" s="180">
        <v>72</v>
      </c>
      <c r="H102" s="181">
        <v>63.99</v>
      </c>
      <c r="I102" s="181">
        <v>80</v>
      </c>
      <c r="J102" s="181">
        <v>72.010000000000005</v>
      </c>
      <c r="K102" s="182">
        <v>72</v>
      </c>
      <c r="L102" s="183">
        <v>3245500</v>
      </c>
      <c r="M102" s="184">
        <v>4861500</v>
      </c>
      <c r="N102" s="184">
        <v>95</v>
      </c>
      <c r="O102" s="184">
        <v>47</v>
      </c>
      <c r="P102" s="181">
        <v>3.8</v>
      </c>
      <c r="Q102" s="184">
        <v>51174</v>
      </c>
      <c r="R102" s="184">
        <v>194460</v>
      </c>
      <c r="S102" s="184">
        <v>297088</v>
      </c>
      <c r="T102" s="184">
        <v>147523</v>
      </c>
      <c r="U102" s="184">
        <v>278261</v>
      </c>
      <c r="V102" s="182">
        <v>1.5</v>
      </c>
      <c r="W102" s="183">
        <v>25</v>
      </c>
      <c r="X102" s="185">
        <v>22</v>
      </c>
      <c r="Y102" s="183">
        <v>233676000</v>
      </c>
      <c r="Z102" s="179" t="s">
        <v>270</v>
      </c>
      <c r="AA102" s="183">
        <v>2088000</v>
      </c>
      <c r="AB102" s="184">
        <v>3600000</v>
      </c>
      <c r="AC102" s="184">
        <v>5724000</v>
      </c>
      <c r="AD102" s="184">
        <v>756000</v>
      </c>
      <c r="AE102" s="184">
        <v>3888000</v>
      </c>
      <c r="AF102" s="177" t="s">
        <v>200</v>
      </c>
      <c r="AG102" s="184">
        <v>2016000</v>
      </c>
      <c r="AH102" s="184">
        <v>1764000</v>
      </c>
      <c r="AI102" s="184">
        <v>7848000</v>
      </c>
      <c r="AJ102" s="184">
        <v>17892000</v>
      </c>
      <c r="AK102" s="184">
        <v>2808000</v>
      </c>
      <c r="AL102" s="184">
        <v>10620000</v>
      </c>
      <c r="AM102" s="184">
        <v>792000</v>
      </c>
      <c r="AN102" s="184">
        <v>3024000</v>
      </c>
      <c r="AO102" s="184">
        <v>864000</v>
      </c>
      <c r="AP102" s="184">
        <v>17964000</v>
      </c>
      <c r="AQ102" s="184">
        <v>36000</v>
      </c>
      <c r="AR102" s="184">
        <v>17892000</v>
      </c>
      <c r="AS102" s="184">
        <v>26352000</v>
      </c>
      <c r="AT102" s="184">
        <v>0</v>
      </c>
      <c r="AU102" s="184">
        <v>576000</v>
      </c>
      <c r="AV102" s="184">
        <v>0</v>
      </c>
      <c r="AW102" s="184">
        <v>432000</v>
      </c>
      <c r="AX102" s="184">
        <v>44784000</v>
      </c>
      <c r="AY102" s="184">
        <v>360000</v>
      </c>
      <c r="AZ102" s="184">
        <v>17568000</v>
      </c>
      <c r="BA102" s="184">
        <v>6336000</v>
      </c>
      <c r="BB102" s="184">
        <v>1368000</v>
      </c>
      <c r="BC102" s="177" t="s">
        <v>200</v>
      </c>
      <c r="BD102" s="184">
        <v>3744000</v>
      </c>
      <c r="BE102" s="184">
        <v>3204000</v>
      </c>
      <c r="BF102" s="184">
        <v>1260000</v>
      </c>
      <c r="BG102" s="184">
        <v>25344000</v>
      </c>
      <c r="BH102" s="184">
        <v>900000</v>
      </c>
      <c r="BI102" s="184">
        <v>1872000</v>
      </c>
      <c r="BJ102" s="187" t="s">
        <v>200</v>
      </c>
    </row>
    <row r="103" spans="2:62" x14ac:dyDescent="0.2">
      <c r="B103" s="175">
        <v>45867</v>
      </c>
      <c r="C103" s="176">
        <v>45867.45866275463</v>
      </c>
      <c r="D103" s="177" t="s">
        <v>267</v>
      </c>
      <c r="E103" s="178" t="s">
        <v>268</v>
      </c>
      <c r="F103" s="179" t="s">
        <v>269</v>
      </c>
      <c r="G103" s="180">
        <v>70.53</v>
      </c>
      <c r="H103" s="181">
        <v>64</v>
      </c>
      <c r="I103" s="181">
        <v>80</v>
      </c>
      <c r="J103" s="181">
        <v>70.510000000000005</v>
      </c>
      <c r="K103" s="182">
        <v>70.31</v>
      </c>
      <c r="L103" s="183">
        <v>3245500</v>
      </c>
      <c r="M103" s="184">
        <v>5473000</v>
      </c>
      <c r="N103" s="184">
        <v>87</v>
      </c>
      <c r="O103" s="184">
        <v>29</v>
      </c>
      <c r="P103" s="181">
        <v>3.78</v>
      </c>
      <c r="Q103" s="184">
        <v>62908</v>
      </c>
      <c r="R103" s="184">
        <v>237957</v>
      </c>
      <c r="S103" s="184">
        <v>326818</v>
      </c>
      <c r="T103" s="184">
        <v>190912</v>
      </c>
      <c r="U103" s="184">
        <v>334781</v>
      </c>
      <c r="V103" s="182">
        <v>1.69</v>
      </c>
      <c r="W103" s="183">
        <v>23</v>
      </c>
      <c r="X103" s="185">
        <v>17</v>
      </c>
      <c r="Y103" s="183">
        <v>228905115</v>
      </c>
      <c r="Z103" s="179" t="s">
        <v>270</v>
      </c>
      <c r="AA103" s="183">
        <v>2045370</v>
      </c>
      <c r="AB103" s="184">
        <v>3526500</v>
      </c>
      <c r="AC103" s="184">
        <v>5607135</v>
      </c>
      <c r="AD103" s="184">
        <v>740565</v>
      </c>
      <c r="AE103" s="184">
        <v>3808620</v>
      </c>
      <c r="AF103" s="177" t="s">
        <v>200</v>
      </c>
      <c r="AG103" s="184">
        <v>1974840</v>
      </c>
      <c r="AH103" s="184">
        <v>1727985</v>
      </c>
      <c r="AI103" s="184">
        <v>7687770</v>
      </c>
      <c r="AJ103" s="184">
        <v>17526705</v>
      </c>
      <c r="AK103" s="184">
        <v>2750670</v>
      </c>
      <c r="AL103" s="184">
        <v>10403175</v>
      </c>
      <c r="AM103" s="184">
        <v>775830</v>
      </c>
      <c r="AN103" s="184">
        <v>2962260</v>
      </c>
      <c r="AO103" s="184">
        <v>846360</v>
      </c>
      <c r="AP103" s="184">
        <v>17597235</v>
      </c>
      <c r="AQ103" s="184">
        <v>35265</v>
      </c>
      <c r="AR103" s="184">
        <v>17526705</v>
      </c>
      <c r="AS103" s="184">
        <v>25813980</v>
      </c>
      <c r="AT103" s="184">
        <v>0</v>
      </c>
      <c r="AU103" s="184">
        <v>564240</v>
      </c>
      <c r="AV103" s="184">
        <v>0</v>
      </c>
      <c r="AW103" s="184">
        <v>423180</v>
      </c>
      <c r="AX103" s="184">
        <v>43869660</v>
      </c>
      <c r="AY103" s="184">
        <v>352650</v>
      </c>
      <c r="AZ103" s="184">
        <v>17209320</v>
      </c>
      <c r="BA103" s="184">
        <v>6206640</v>
      </c>
      <c r="BB103" s="184">
        <v>1340070</v>
      </c>
      <c r="BC103" s="177" t="s">
        <v>200</v>
      </c>
      <c r="BD103" s="184">
        <v>3667560</v>
      </c>
      <c r="BE103" s="184">
        <v>3138585</v>
      </c>
      <c r="BF103" s="184">
        <v>1234275</v>
      </c>
      <c r="BG103" s="184">
        <v>24826560</v>
      </c>
      <c r="BH103" s="184">
        <v>881625</v>
      </c>
      <c r="BI103" s="184">
        <v>1833780</v>
      </c>
      <c r="BJ103" s="187" t="s">
        <v>200</v>
      </c>
    </row>
    <row r="104" spans="2:62" x14ac:dyDescent="0.2">
      <c r="B104" s="175">
        <v>45866</v>
      </c>
      <c r="C104" s="176">
        <v>45866.458761400463</v>
      </c>
      <c r="D104" s="177" t="s">
        <v>267</v>
      </c>
      <c r="E104" s="178" t="s">
        <v>268</v>
      </c>
      <c r="F104" s="179" t="s">
        <v>269</v>
      </c>
      <c r="G104" s="180">
        <v>70.63</v>
      </c>
      <c r="H104" s="181">
        <v>68.5</v>
      </c>
      <c r="I104" s="181">
        <v>120</v>
      </c>
      <c r="J104" s="181">
        <v>71.599999999999994</v>
      </c>
      <c r="K104" s="182">
        <v>70.319999999999993</v>
      </c>
      <c r="L104" s="183">
        <v>3245500</v>
      </c>
      <c r="M104" s="184">
        <v>4664500</v>
      </c>
      <c r="N104" s="184">
        <v>90</v>
      </c>
      <c r="O104" s="184">
        <v>29</v>
      </c>
      <c r="P104" s="181">
        <v>3.75</v>
      </c>
      <c r="Q104" s="184">
        <v>51828</v>
      </c>
      <c r="R104" s="184">
        <v>194354</v>
      </c>
      <c r="S104" s="184">
        <v>224388</v>
      </c>
      <c r="T104" s="184">
        <v>180306</v>
      </c>
      <c r="U104" s="184">
        <v>211195</v>
      </c>
      <c r="V104" s="182">
        <v>1.44</v>
      </c>
      <c r="W104" s="183">
        <v>24</v>
      </c>
      <c r="X104" s="185">
        <v>18</v>
      </c>
      <c r="Y104" s="183">
        <v>229229665</v>
      </c>
      <c r="Z104" s="179" t="s">
        <v>270</v>
      </c>
      <c r="AA104" s="183">
        <v>2048270</v>
      </c>
      <c r="AB104" s="184">
        <v>3531500</v>
      </c>
      <c r="AC104" s="184">
        <v>5615085</v>
      </c>
      <c r="AD104" s="184">
        <v>741615</v>
      </c>
      <c r="AE104" s="184">
        <v>3814020</v>
      </c>
      <c r="AF104" s="177" t="s">
        <v>200</v>
      </c>
      <c r="AG104" s="184">
        <v>1977640</v>
      </c>
      <c r="AH104" s="184">
        <v>1730435</v>
      </c>
      <c r="AI104" s="184">
        <v>7698670</v>
      </c>
      <c r="AJ104" s="184">
        <v>17551555</v>
      </c>
      <c r="AK104" s="184">
        <v>2754570</v>
      </c>
      <c r="AL104" s="184">
        <v>10417925</v>
      </c>
      <c r="AM104" s="184">
        <v>776930</v>
      </c>
      <c r="AN104" s="184">
        <v>2966460</v>
      </c>
      <c r="AO104" s="184">
        <v>847560</v>
      </c>
      <c r="AP104" s="184">
        <v>17622185</v>
      </c>
      <c r="AQ104" s="184">
        <v>35315</v>
      </c>
      <c r="AR104" s="184">
        <v>17551555</v>
      </c>
      <c r="AS104" s="184">
        <v>25850580</v>
      </c>
      <c r="AT104" s="184">
        <v>0</v>
      </c>
      <c r="AU104" s="184">
        <v>565040</v>
      </c>
      <c r="AV104" s="184">
        <v>0</v>
      </c>
      <c r="AW104" s="184">
        <v>423780</v>
      </c>
      <c r="AX104" s="184">
        <v>43931860</v>
      </c>
      <c r="AY104" s="184">
        <v>353150</v>
      </c>
      <c r="AZ104" s="184">
        <v>17233720</v>
      </c>
      <c r="BA104" s="184">
        <v>6215440</v>
      </c>
      <c r="BB104" s="184">
        <v>1341970</v>
      </c>
      <c r="BC104" s="177" t="s">
        <v>200</v>
      </c>
      <c r="BD104" s="184">
        <v>3672760</v>
      </c>
      <c r="BE104" s="184">
        <v>3143035</v>
      </c>
      <c r="BF104" s="184">
        <v>1236025</v>
      </c>
      <c r="BG104" s="184">
        <v>24861760</v>
      </c>
      <c r="BH104" s="184">
        <v>882875</v>
      </c>
      <c r="BI104" s="184">
        <v>1836380</v>
      </c>
      <c r="BJ104" s="187" t="s">
        <v>200</v>
      </c>
    </row>
    <row r="105" spans="2:62" x14ac:dyDescent="0.2">
      <c r="B105" s="175">
        <v>45863</v>
      </c>
      <c r="C105" s="176">
        <v>45863.459373958336</v>
      </c>
      <c r="D105" s="177" t="s">
        <v>271</v>
      </c>
      <c r="E105" s="178" t="s">
        <v>268</v>
      </c>
      <c r="F105" s="179" t="s">
        <v>269</v>
      </c>
      <c r="G105" s="180">
        <v>70.22</v>
      </c>
      <c r="H105" s="181">
        <v>67.5</v>
      </c>
      <c r="I105" s="181">
        <v>80</v>
      </c>
      <c r="J105" s="181">
        <v>70.319999999999993</v>
      </c>
      <c r="K105" s="182">
        <v>70.05</v>
      </c>
      <c r="L105" s="183">
        <v>1607000</v>
      </c>
      <c r="M105" s="184">
        <v>3026500</v>
      </c>
      <c r="N105" s="184">
        <v>82</v>
      </c>
      <c r="O105" s="184">
        <v>25</v>
      </c>
      <c r="P105" s="181">
        <v>3.9</v>
      </c>
      <c r="Q105" s="184">
        <v>36909</v>
      </c>
      <c r="R105" s="184">
        <v>144119</v>
      </c>
      <c r="S105" s="184">
        <v>157386</v>
      </c>
      <c r="T105" s="184">
        <v>107133</v>
      </c>
      <c r="U105" s="184">
        <v>126669</v>
      </c>
      <c r="V105" s="182">
        <v>1.88</v>
      </c>
      <c r="W105" s="183">
        <v>21</v>
      </c>
      <c r="X105" s="185">
        <v>15</v>
      </c>
      <c r="Y105" s="183">
        <v>112843540</v>
      </c>
      <c r="Z105" s="179" t="s">
        <v>272</v>
      </c>
      <c r="AA105" s="186" t="s">
        <v>200</v>
      </c>
      <c r="AB105" s="177" t="s">
        <v>200</v>
      </c>
      <c r="AC105" s="177" t="s">
        <v>200</v>
      </c>
      <c r="AD105" s="177" t="s">
        <v>200</v>
      </c>
      <c r="AE105" s="177" t="s">
        <v>200</v>
      </c>
      <c r="AF105" s="184">
        <v>112843540</v>
      </c>
      <c r="AG105" s="177" t="s">
        <v>200</v>
      </c>
      <c r="AH105" s="177" t="s">
        <v>200</v>
      </c>
      <c r="AI105" s="177" t="s">
        <v>200</v>
      </c>
      <c r="AJ105" s="177" t="s">
        <v>200</v>
      </c>
      <c r="AK105" s="177" t="s">
        <v>200</v>
      </c>
      <c r="AL105" s="177" t="s">
        <v>200</v>
      </c>
      <c r="AM105" s="177" t="s">
        <v>200</v>
      </c>
      <c r="AN105" s="177" t="s">
        <v>200</v>
      </c>
      <c r="AO105" s="177" t="s">
        <v>200</v>
      </c>
      <c r="AP105" s="177" t="s">
        <v>200</v>
      </c>
      <c r="AQ105" s="177" t="s">
        <v>200</v>
      </c>
      <c r="AR105" s="177" t="s">
        <v>200</v>
      </c>
      <c r="AS105" s="177" t="s">
        <v>200</v>
      </c>
      <c r="AT105" s="177" t="s">
        <v>200</v>
      </c>
      <c r="AU105" s="177" t="s">
        <v>200</v>
      </c>
      <c r="AV105" s="177" t="s">
        <v>200</v>
      </c>
      <c r="AW105" s="177" t="s">
        <v>200</v>
      </c>
      <c r="AX105" s="177" t="s">
        <v>200</v>
      </c>
      <c r="AY105" s="177" t="s">
        <v>200</v>
      </c>
      <c r="AZ105" s="177" t="s">
        <v>200</v>
      </c>
      <c r="BA105" s="177" t="s">
        <v>200</v>
      </c>
      <c r="BB105" s="177" t="s">
        <v>200</v>
      </c>
      <c r="BC105" s="177" t="s">
        <v>200</v>
      </c>
      <c r="BD105" s="177" t="s">
        <v>200</v>
      </c>
      <c r="BE105" s="177" t="s">
        <v>200</v>
      </c>
      <c r="BF105" s="177" t="s">
        <v>200</v>
      </c>
      <c r="BG105" s="177" t="s">
        <v>200</v>
      </c>
      <c r="BH105" s="177" t="s">
        <v>200</v>
      </c>
      <c r="BI105" s="177" t="s">
        <v>200</v>
      </c>
      <c r="BJ105" s="187" t="s">
        <v>200</v>
      </c>
    </row>
    <row r="106" spans="2:62" x14ac:dyDescent="0.2">
      <c r="B106" s="175">
        <v>45862</v>
      </c>
      <c r="C106" s="176">
        <v>45862.458637581018</v>
      </c>
      <c r="D106" s="177" t="s">
        <v>267</v>
      </c>
      <c r="E106" s="178" t="s">
        <v>268</v>
      </c>
      <c r="F106" s="179" t="s">
        <v>269</v>
      </c>
      <c r="G106" s="180">
        <v>68.89</v>
      </c>
      <c r="H106" s="181">
        <v>58</v>
      </c>
      <c r="I106" s="181">
        <v>85</v>
      </c>
      <c r="J106" s="181">
        <v>69.42</v>
      </c>
      <c r="K106" s="182">
        <v>68.72</v>
      </c>
      <c r="L106" s="183">
        <v>3245500</v>
      </c>
      <c r="M106" s="184">
        <v>5111500</v>
      </c>
      <c r="N106" s="184">
        <v>98</v>
      </c>
      <c r="O106" s="184">
        <v>38</v>
      </c>
      <c r="P106" s="181">
        <v>3.63</v>
      </c>
      <c r="Q106" s="184">
        <v>52158</v>
      </c>
      <c r="R106" s="184">
        <v>189315</v>
      </c>
      <c r="S106" s="184">
        <v>234928</v>
      </c>
      <c r="T106" s="184">
        <v>147523</v>
      </c>
      <c r="U106" s="184">
        <v>191639</v>
      </c>
      <c r="V106" s="182">
        <v>1.57</v>
      </c>
      <c r="W106" s="183">
        <v>27</v>
      </c>
      <c r="X106" s="185">
        <v>22</v>
      </c>
      <c r="Y106" s="183">
        <v>223582495</v>
      </c>
      <c r="Z106" s="179" t="s">
        <v>270</v>
      </c>
      <c r="AA106" s="183">
        <v>1997810</v>
      </c>
      <c r="AB106" s="184">
        <v>3444500</v>
      </c>
      <c r="AC106" s="184">
        <v>5476755</v>
      </c>
      <c r="AD106" s="184">
        <v>723345</v>
      </c>
      <c r="AE106" s="184">
        <v>3720060</v>
      </c>
      <c r="AF106" s="177" t="s">
        <v>200</v>
      </c>
      <c r="AG106" s="184">
        <v>1928920</v>
      </c>
      <c r="AH106" s="184">
        <v>1687805</v>
      </c>
      <c r="AI106" s="184">
        <v>7509010</v>
      </c>
      <c r="AJ106" s="184">
        <v>17119165</v>
      </c>
      <c r="AK106" s="184">
        <v>2686710</v>
      </c>
      <c r="AL106" s="184">
        <v>10161275</v>
      </c>
      <c r="AM106" s="184">
        <v>757790</v>
      </c>
      <c r="AN106" s="184">
        <v>2893380</v>
      </c>
      <c r="AO106" s="184">
        <v>826680</v>
      </c>
      <c r="AP106" s="184">
        <v>17188055</v>
      </c>
      <c r="AQ106" s="184">
        <v>34445</v>
      </c>
      <c r="AR106" s="184">
        <v>17119165</v>
      </c>
      <c r="AS106" s="184">
        <v>25213740</v>
      </c>
      <c r="AT106" s="184">
        <v>0</v>
      </c>
      <c r="AU106" s="184">
        <v>551120</v>
      </c>
      <c r="AV106" s="184">
        <v>0</v>
      </c>
      <c r="AW106" s="184">
        <v>413340</v>
      </c>
      <c r="AX106" s="184">
        <v>42849580</v>
      </c>
      <c r="AY106" s="184">
        <v>344450</v>
      </c>
      <c r="AZ106" s="184">
        <v>16809160</v>
      </c>
      <c r="BA106" s="184">
        <v>6062320</v>
      </c>
      <c r="BB106" s="184">
        <v>1308910</v>
      </c>
      <c r="BC106" s="177" t="s">
        <v>200</v>
      </c>
      <c r="BD106" s="184">
        <v>3582280</v>
      </c>
      <c r="BE106" s="184">
        <v>3065605</v>
      </c>
      <c r="BF106" s="184">
        <v>1205575</v>
      </c>
      <c r="BG106" s="184">
        <v>24249280</v>
      </c>
      <c r="BH106" s="184">
        <v>861125</v>
      </c>
      <c r="BI106" s="184">
        <v>1791140</v>
      </c>
      <c r="BJ106" s="187" t="s">
        <v>200</v>
      </c>
    </row>
    <row r="107" spans="2:62" x14ac:dyDescent="0.2">
      <c r="B107" s="175">
        <v>45861</v>
      </c>
      <c r="C107" s="176">
        <v>45861.458893171293</v>
      </c>
      <c r="D107" s="177" t="s">
        <v>273</v>
      </c>
      <c r="E107" s="178" t="s">
        <v>268</v>
      </c>
      <c r="F107" s="179" t="s">
        <v>269</v>
      </c>
      <c r="G107" s="180">
        <v>69.099999999999994</v>
      </c>
      <c r="H107" s="181">
        <v>60</v>
      </c>
      <c r="I107" s="181">
        <v>85</v>
      </c>
      <c r="J107" s="181">
        <v>69.58</v>
      </c>
      <c r="K107" s="182">
        <v>68.790000000000006</v>
      </c>
      <c r="L107" s="183">
        <v>2072500</v>
      </c>
      <c r="M107" s="184">
        <v>4378000</v>
      </c>
      <c r="N107" s="184">
        <v>104</v>
      </c>
      <c r="O107" s="184">
        <v>31</v>
      </c>
      <c r="P107" s="181">
        <v>4</v>
      </c>
      <c r="Q107" s="184">
        <v>42096</v>
      </c>
      <c r="R107" s="184">
        <v>168385</v>
      </c>
      <c r="S107" s="184">
        <v>220699</v>
      </c>
      <c r="T107" s="184">
        <v>148036</v>
      </c>
      <c r="U107" s="184">
        <v>262885</v>
      </c>
      <c r="V107" s="182">
        <v>2.11</v>
      </c>
      <c r="W107" s="183">
        <v>26</v>
      </c>
      <c r="X107" s="185">
        <v>14</v>
      </c>
      <c r="Y107" s="183">
        <v>143209750</v>
      </c>
      <c r="Z107" s="179" t="s">
        <v>274</v>
      </c>
      <c r="AA107" s="186" t="s">
        <v>200</v>
      </c>
      <c r="AB107" s="177" t="s">
        <v>200</v>
      </c>
      <c r="AC107" s="177" t="s">
        <v>200</v>
      </c>
      <c r="AD107" s="177" t="s">
        <v>200</v>
      </c>
      <c r="AE107" s="177" t="s">
        <v>200</v>
      </c>
      <c r="AF107" s="177" t="s">
        <v>200</v>
      </c>
      <c r="AG107" s="177" t="s">
        <v>200</v>
      </c>
      <c r="AH107" s="177" t="s">
        <v>200</v>
      </c>
      <c r="AI107" s="177" t="s">
        <v>200</v>
      </c>
      <c r="AJ107" s="177" t="s">
        <v>200</v>
      </c>
      <c r="AK107" s="177" t="s">
        <v>200</v>
      </c>
      <c r="AL107" s="177" t="s">
        <v>200</v>
      </c>
      <c r="AM107" s="177" t="s">
        <v>200</v>
      </c>
      <c r="AN107" s="177" t="s">
        <v>200</v>
      </c>
      <c r="AO107" s="177" t="s">
        <v>200</v>
      </c>
      <c r="AP107" s="177" t="s">
        <v>200</v>
      </c>
      <c r="AQ107" s="177" t="s">
        <v>200</v>
      </c>
      <c r="AR107" s="177" t="s">
        <v>200</v>
      </c>
      <c r="AS107" s="177" t="s">
        <v>200</v>
      </c>
      <c r="AT107" s="177" t="s">
        <v>200</v>
      </c>
      <c r="AU107" s="177" t="s">
        <v>200</v>
      </c>
      <c r="AV107" s="177" t="s">
        <v>200</v>
      </c>
      <c r="AW107" s="177" t="s">
        <v>200</v>
      </c>
      <c r="AX107" s="177" t="s">
        <v>200</v>
      </c>
      <c r="AY107" s="177" t="s">
        <v>200</v>
      </c>
      <c r="AZ107" s="177" t="s">
        <v>200</v>
      </c>
      <c r="BA107" s="177" t="s">
        <v>200</v>
      </c>
      <c r="BB107" s="177" t="s">
        <v>200</v>
      </c>
      <c r="BC107" s="184">
        <v>143209750</v>
      </c>
      <c r="BD107" s="177" t="s">
        <v>200</v>
      </c>
      <c r="BE107" s="177" t="s">
        <v>200</v>
      </c>
      <c r="BF107" s="177" t="s">
        <v>200</v>
      </c>
      <c r="BG107" s="177" t="s">
        <v>200</v>
      </c>
      <c r="BH107" s="177" t="s">
        <v>200</v>
      </c>
      <c r="BI107" s="177" t="s">
        <v>200</v>
      </c>
      <c r="BJ107" s="187" t="s">
        <v>200</v>
      </c>
    </row>
    <row r="108" spans="2:62" x14ac:dyDescent="0.2">
      <c r="B108" s="175">
        <v>45860</v>
      </c>
      <c r="C108" s="176">
        <v>45860.458563171298</v>
      </c>
      <c r="D108" s="177" t="s">
        <v>267</v>
      </c>
      <c r="E108" s="178" t="s">
        <v>268</v>
      </c>
      <c r="F108" s="179" t="s">
        <v>269</v>
      </c>
      <c r="G108" s="180">
        <v>68.73</v>
      </c>
      <c r="H108" s="181">
        <v>60</v>
      </c>
      <c r="I108" s="181">
        <v>85</v>
      </c>
      <c r="J108" s="181">
        <v>69.14</v>
      </c>
      <c r="K108" s="182">
        <v>68.75</v>
      </c>
      <c r="L108" s="183">
        <v>3245500</v>
      </c>
      <c r="M108" s="184">
        <v>4105000</v>
      </c>
      <c r="N108" s="184">
        <v>93</v>
      </c>
      <c r="O108" s="184">
        <v>50</v>
      </c>
      <c r="P108" s="181">
        <v>3.72</v>
      </c>
      <c r="Q108" s="184">
        <v>44140</v>
      </c>
      <c r="R108" s="184">
        <v>164200</v>
      </c>
      <c r="S108" s="184">
        <v>221539</v>
      </c>
      <c r="T108" s="184">
        <v>154548</v>
      </c>
      <c r="U108" s="184">
        <v>221864</v>
      </c>
      <c r="V108" s="182">
        <v>1.26</v>
      </c>
      <c r="W108" s="183">
        <v>25</v>
      </c>
      <c r="X108" s="185">
        <v>21</v>
      </c>
      <c r="Y108" s="183">
        <v>223063215</v>
      </c>
      <c r="Z108" s="179" t="s">
        <v>270</v>
      </c>
      <c r="AA108" s="183">
        <v>1993170</v>
      </c>
      <c r="AB108" s="184">
        <v>3436500</v>
      </c>
      <c r="AC108" s="184">
        <v>5464035</v>
      </c>
      <c r="AD108" s="184">
        <v>721665</v>
      </c>
      <c r="AE108" s="184">
        <v>3711420</v>
      </c>
      <c r="AF108" s="177" t="s">
        <v>200</v>
      </c>
      <c r="AG108" s="184">
        <v>1924440</v>
      </c>
      <c r="AH108" s="184">
        <v>1683885</v>
      </c>
      <c r="AI108" s="184">
        <v>7491570</v>
      </c>
      <c r="AJ108" s="184">
        <v>17079405</v>
      </c>
      <c r="AK108" s="184">
        <v>2680470</v>
      </c>
      <c r="AL108" s="184">
        <v>10137675</v>
      </c>
      <c r="AM108" s="184">
        <v>756030</v>
      </c>
      <c r="AN108" s="184">
        <v>2886660</v>
      </c>
      <c r="AO108" s="184">
        <v>824760</v>
      </c>
      <c r="AP108" s="184">
        <v>17148135</v>
      </c>
      <c r="AQ108" s="184">
        <v>34365</v>
      </c>
      <c r="AR108" s="184">
        <v>17079405</v>
      </c>
      <c r="AS108" s="184">
        <v>25155180</v>
      </c>
      <c r="AT108" s="184">
        <v>0</v>
      </c>
      <c r="AU108" s="184">
        <v>549840</v>
      </c>
      <c r="AV108" s="184">
        <v>0</v>
      </c>
      <c r="AW108" s="184">
        <v>412380</v>
      </c>
      <c r="AX108" s="184">
        <v>42750060</v>
      </c>
      <c r="AY108" s="184">
        <v>343650</v>
      </c>
      <c r="AZ108" s="184">
        <v>16770120</v>
      </c>
      <c r="BA108" s="184">
        <v>6048240</v>
      </c>
      <c r="BB108" s="184">
        <v>1305870</v>
      </c>
      <c r="BC108" s="177" t="s">
        <v>200</v>
      </c>
      <c r="BD108" s="184">
        <v>3573960</v>
      </c>
      <c r="BE108" s="184">
        <v>3058485</v>
      </c>
      <c r="BF108" s="184">
        <v>1202775</v>
      </c>
      <c r="BG108" s="184">
        <v>24192960</v>
      </c>
      <c r="BH108" s="184">
        <v>859125</v>
      </c>
      <c r="BI108" s="184">
        <v>1786980</v>
      </c>
      <c r="BJ108" s="187" t="s">
        <v>200</v>
      </c>
    </row>
    <row r="109" spans="2:62" x14ac:dyDescent="0.2">
      <c r="B109" s="175">
        <v>45859</v>
      </c>
      <c r="C109" s="176">
        <v>45859.458841990738</v>
      </c>
      <c r="D109" s="177" t="s">
        <v>267</v>
      </c>
      <c r="E109" s="178" t="s">
        <v>268</v>
      </c>
      <c r="F109" s="179" t="s">
        <v>269</v>
      </c>
      <c r="G109" s="180">
        <v>69.53</v>
      </c>
      <c r="H109" s="181">
        <v>62.99</v>
      </c>
      <c r="I109" s="181">
        <v>120</v>
      </c>
      <c r="J109" s="181">
        <v>70.22</v>
      </c>
      <c r="K109" s="182">
        <v>69.37</v>
      </c>
      <c r="L109" s="183">
        <v>3245500</v>
      </c>
      <c r="M109" s="184">
        <v>5095000</v>
      </c>
      <c r="N109" s="184">
        <v>96</v>
      </c>
      <c r="O109" s="184">
        <v>37</v>
      </c>
      <c r="P109" s="181">
        <v>4</v>
      </c>
      <c r="Q109" s="184">
        <v>53073</v>
      </c>
      <c r="R109" s="184">
        <v>212292</v>
      </c>
      <c r="S109" s="184">
        <v>272752</v>
      </c>
      <c r="T109" s="184">
        <v>162275</v>
      </c>
      <c r="U109" s="184">
        <v>231566</v>
      </c>
      <c r="V109" s="182">
        <v>1.57</v>
      </c>
      <c r="W109" s="183">
        <v>24</v>
      </c>
      <c r="X109" s="185">
        <v>20</v>
      </c>
      <c r="Y109" s="183">
        <v>225659615</v>
      </c>
      <c r="Z109" s="179" t="s">
        <v>270</v>
      </c>
      <c r="AA109" s="183">
        <v>2016370</v>
      </c>
      <c r="AB109" s="184">
        <v>3476500</v>
      </c>
      <c r="AC109" s="184">
        <v>5527635</v>
      </c>
      <c r="AD109" s="184">
        <v>730065</v>
      </c>
      <c r="AE109" s="184">
        <v>3754620</v>
      </c>
      <c r="AF109" s="177" t="s">
        <v>200</v>
      </c>
      <c r="AG109" s="184">
        <v>1946840</v>
      </c>
      <c r="AH109" s="184">
        <v>1703485</v>
      </c>
      <c r="AI109" s="184">
        <v>7578770</v>
      </c>
      <c r="AJ109" s="184">
        <v>17278205</v>
      </c>
      <c r="AK109" s="184">
        <v>2711670</v>
      </c>
      <c r="AL109" s="184">
        <v>10255675</v>
      </c>
      <c r="AM109" s="184">
        <v>764830</v>
      </c>
      <c r="AN109" s="184">
        <v>2920260</v>
      </c>
      <c r="AO109" s="184">
        <v>834360</v>
      </c>
      <c r="AP109" s="184">
        <v>17347735</v>
      </c>
      <c r="AQ109" s="184">
        <v>34765</v>
      </c>
      <c r="AR109" s="184">
        <v>17278205</v>
      </c>
      <c r="AS109" s="184">
        <v>25447980</v>
      </c>
      <c r="AT109" s="184">
        <v>0</v>
      </c>
      <c r="AU109" s="184">
        <v>556240</v>
      </c>
      <c r="AV109" s="184">
        <v>0</v>
      </c>
      <c r="AW109" s="184">
        <v>417180</v>
      </c>
      <c r="AX109" s="184">
        <v>43247660</v>
      </c>
      <c r="AY109" s="184">
        <v>347650</v>
      </c>
      <c r="AZ109" s="184">
        <v>16965320</v>
      </c>
      <c r="BA109" s="184">
        <v>6118640</v>
      </c>
      <c r="BB109" s="184">
        <v>1321070</v>
      </c>
      <c r="BC109" s="177" t="s">
        <v>200</v>
      </c>
      <c r="BD109" s="184">
        <v>3615560</v>
      </c>
      <c r="BE109" s="184">
        <v>3094085</v>
      </c>
      <c r="BF109" s="184">
        <v>1216775</v>
      </c>
      <c r="BG109" s="184">
        <v>24474560</v>
      </c>
      <c r="BH109" s="184">
        <v>869125</v>
      </c>
      <c r="BI109" s="184">
        <v>1807780</v>
      </c>
      <c r="BJ109" s="187" t="s">
        <v>200</v>
      </c>
    </row>
    <row r="110" spans="2:62" x14ac:dyDescent="0.2">
      <c r="B110" s="175">
        <v>45856</v>
      </c>
      <c r="C110" s="176">
        <v>45856.458669629632</v>
      </c>
      <c r="D110" s="177" t="s">
        <v>271</v>
      </c>
      <c r="E110" s="178" t="s">
        <v>268</v>
      </c>
      <c r="F110" s="179" t="s">
        <v>269</v>
      </c>
      <c r="G110" s="180">
        <v>69.680000000000007</v>
      </c>
      <c r="H110" s="181">
        <v>64</v>
      </c>
      <c r="I110" s="181">
        <v>80</v>
      </c>
      <c r="J110" s="181">
        <v>69.709999999999994</v>
      </c>
      <c r="K110" s="182">
        <v>69.459999999999994</v>
      </c>
      <c r="L110" s="183">
        <v>1607000</v>
      </c>
      <c r="M110" s="184">
        <v>3850500</v>
      </c>
      <c r="N110" s="184">
        <v>108</v>
      </c>
      <c r="O110" s="184">
        <v>33</v>
      </c>
      <c r="P110" s="181">
        <v>4.7</v>
      </c>
      <c r="Q110" s="184">
        <v>35653</v>
      </c>
      <c r="R110" s="184">
        <v>167413</v>
      </c>
      <c r="S110" s="184">
        <v>200349</v>
      </c>
      <c r="T110" s="184">
        <v>94529</v>
      </c>
      <c r="U110" s="184">
        <v>160191</v>
      </c>
      <c r="V110" s="182">
        <v>2.4</v>
      </c>
      <c r="W110" s="183">
        <v>23</v>
      </c>
      <c r="X110" s="185">
        <v>17</v>
      </c>
      <c r="Y110" s="183">
        <v>111975760</v>
      </c>
      <c r="Z110" s="179" t="s">
        <v>272</v>
      </c>
      <c r="AA110" s="186" t="s">
        <v>200</v>
      </c>
      <c r="AB110" s="177" t="s">
        <v>200</v>
      </c>
      <c r="AC110" s="177" t="s">
        <v>200</v>
      </c>
      <c r="AD110" s="177" t="s">
        <v>200</v>
      </c>
      <c r="AE110" s="177" t="s">
        <v>200</v>
      </c>
      <c r="AF110" s="184">
        <v>111975760</v>
      </c>
      <c r="AG110" s="177" t="s">
        <v>200</v>
      </c>
      <c r="AH110" s="177" t="s">
        <v>200</v>
      </c>
      <c r="AI110" s="177" t="s">
        <v>200</v>
      </c>
      <c r="AJ110" s="177" t="s">
        <v>200</v>
      </c>
      <c r="AK110" s="177" t="s">
        <v>200</v>
      </c>
      <c r="AL110" s="177" t="s">
        <v>200</v>
      </c>
      <c r="AM110" s="177" t="s">
        <v>200</v>
      </c>
      <c r="AN110" s="177" t="s">
        <v>200</v>
      </c>
      <c r="AO110" s="177" t="s">
        <v>200</v>
      </c>
      <c r="AP110" s="177" t="s">
        <v>200</v>
      </c>
      <c r="AQ110" s="177" t="s">
        <v>200</v>
      </c>
      <c r="AR110" s="177" t="s">
        <v>200</v>
      </c>
      <c r="AS110" s="177" t="s">
        <v>200</v>
      </c>
      <c r="AT110" s="177" t="s">
        <v>200</v>
      </c>
      <c r="AU110" s="177" t="s">
        <v>200</v>
      </c>
      <c r="AV110" s="177" t="s">
        <v>200</v>
      </c>
      <c r="AW110" s="177" t="s">
        <v>200</v>
      </c>
      <c r="AX110" s="177" t="s">
        <v>200</v>
      </c>
      <c r="AY110" s="177" t="s">
        <v>200</v>
      </c>
      <c r="AZ110" s="177" t="s">
        <v>200</v>
      </c>
      <c r="BA110" s="177" t="s">
        <v>200</v>
      </c>
      <c r="BB110" s="177" t="s">
        <v>200</v>
      </c>
      <c r="BC110" s="177" t="s">
        <v>200</v>
      </c>
      <c r="BD110" s="177" t="s">
        <v>200</v>
      </c>
      <c r="BE110" s="177" t="s">
        <v>200</v>
      </c>
      <c r="BF110" s="177" t="s">
        <v>200</v>
      </c>
      <c r="BG110" s="177" t="s">
        <v>200</v>
      </c>
      <c r="BH110" s="177" t="s">
        <v>200</v>
      </c>
      <c r="BI110" s="177" t="s">
        <v>200</v>
      </c>
      <c r="BJ110" s="187" t="s">
        <v>200</v>
      </c>
    </row>
    <row r="111" spans="2:62" x14ac:dyDescent="0.2">
      <c r="B111" s="175">
        <v>45855</v>
      </c>
      <c r="C111" s="176">
        <v>45855.458698379633</v>
      </c>
      <c r="D111" s="177" t="s">
        <v>267</v>
      </c>
      <c r="E111" s="178" t="s">
        <v>268</v>
      </c>
      <c r="F111" s="179" t="s">
        <v>269</v>
      </c>
      <c r="G111" s="180">
        <v>70.05</v>
      </c>
      <c r="H111" s="181">
        <v>66</v>
      </c>
      <c r="I111" s="181">
        <v>120</v>
      </c>
      <c r="J111" s="181">
        <v>70.64</v>
      </c>
      <c r="K111" s="182">
        <v>70.010000000000005</v>
      </c>
      <c r="L111" s="183">
        <v>3245500</v>
      </c>
      <c r="M111" s="184">
        <v>4873000</v>
      </c>
      <c r="N111" s="184">
        <v>105</v>
      </c>
      <c r="O111" s="184">
        <v>48</v>
      </c>
      <c r="P111" s="181">
        <v>4.04</v>
      </c>
      <c r="Q111" s="184">
        <v>46410</v>
      </c>
      <c r="R111" s="184">
        <v>187423</v>
      </c>
      <c r="S111" s="184">
        <v>276340</v>
      </c>
      <c r="T111" s="184">
        <v>154548</v>
      </c>
      <c r="U111" s="184">
        <v>255183</v>
      </c>
      <c r="V111" s="182">
        <v>1.5</v>
      </c>
      <c r="W111" s="183">
        <v>26</v>
      </c>
      <c r="X111" s="185">
        <v>21</v>
      </c>
      <c r="Y111" s="183">
        <v>227347275</v>
      </c>
      <c r="Z111" s="179" t="s">
        <v>270</v>
      </c>
      <c r="AA111" s="183">
        <v>2031450</v>
      </c>
      <c r="AB111" s="184">
        <v>3502500</v>
      </c>
      <c r="AC111" s="184">
        <v>5568975</v>
      </c>
      <c r="AD111" s="184">
        <v>735525</v>
      </c>
      <c r="AE111" s="184">
        <v>3782700</v>
      </c>
      <c r="AF111" s="177" t="s">
        <v>200</v>
      </c>
      <c r="AG111" s="184">
        <v>1961400</v>
      </c>
      <c r="AH111" s="184">
        <v>1716225</v>
      </c>
      <c r="AI111" s="184">
        <v>7635450</v>
      </c>
      <c r="AJ111" s="184">
        <v>17407425</v>
      </c>
      <c r="AK111" s="184">
        <v>2731950</v>
      </c>
      <c r="AL111" s="184">
        <v>10332375</v>
      </c>
      <c r="AM111" s="184">
        <v>770550</v>
      </c>
      <c r="AN111" s="184">
        <v>2942100</v>
      </c>
      <c r="AO111" s="184">
        <v>840600</v>
      </c>
      <c r="AP111" s="184">
        <v>17477475</v>
      </c>
      <c r="AQ111" s="184">
        <v>35025</v>
      </c>
      <c r="AR111" s="184">
        <v>17407425</v>
      </c>
      <c r="AS111" s="184">
        <v>25638300</v>
      </c>
      <c r="AT111" s="184">
        <v>0</v>
      </c>
      <c r="AU111" s="184">
        <v>560400</v>
      </c>
      <c r="AV111" s="184">
        <v>0</v>
      </c>
      <c r="AW111" s="184">
        <v>420300</v>
      </c>
      <c r="AX111" s="184">
        <v>43571100</v>
      </c>
      <c r="AY111" s="184">
        <v>350250</v>
      </c>
      <c r="AZ111" s="184">
        <v>17092200</v>
      </c>
      <c r="BA111" s="184">
        <v>6164400</v>
      </c>
      <c r="BB111" s="184">
        <v>1330950</v>
      </c>
      <c r="BC111" s="177" t="s">
        <v>200</v>
      </c>
      <c r="BD111" s="184">
        <v>3642600</v>
      </c>
      <c r="BE111" s="184">
        <v>3117225</v>
      </c>
      <c r="BF111" s="184">
        <v>1225875</v>
      </c>
      <c r="BG111" s="184">
        <v>24657600</v>
      </c>
      <c r="BH111" s="184">
        <v>875625</v>
      </c>
      <c r="BI111" s="184">
        <v>1821300</v>
      </c>
      <c r="BJ111" s="187" t="s">
        <v>200</v>
      </c>
    </row>
    <row r="112" spans="2:62" x14ac:dyDescent="0.2">
      <c r="B112" s="175">
        <v>45853</v>
      </c>
      <c r="C112" s="176">
        <v>45853.458739409725</v>
      </c>
      <c r="D112" s="177" t="s">
        <v>267</v>
      </c>
      <c r="E112" s="178" t="s">
        <v>268</v>
      </c>
      <c r="F112" s="179" t="s">
        <v>269</v>
      </c>
      <c r="G112" s="180">
        <v>69.760000000000005</v>
      </c>
      <c r="H112" s="181">
        <v>64</v>
      </c>
      <c r="I112" s="181">
        <v>120</v>
      </c>
      <c r="J112" s="181">
        <v>70.28</v>
      </c>
      <c r="K112" s="182">
        <v>69.510000000000005</v>
      </c>
      <c r="L112" s="183">
        <v>3245500</v>
      </c>
      <c r="M112" s="184">
        <v>5499000</v>
      </c>
      <c r="N112" s="184">
        <v>102</v>
      </c>
      <c r="O112" s="184">
        <v>32</v>
      </c>
      <c r="P112" s="181">
        <v>4.25</v>
      </c>
      <c r="Q112" s="184">
        <v>53912</v>
      </c>
      <c r="R112" s="184">
        <v>229125</v>
      </c>
      <c r="S112" s="184">
        <v>268796</v>
      </c>
      <c r="T112" s="184">
        <v>170816</v>
      </c>
      <c r="U112" s="184">
        <v>239874</v>
      </c>
      <c r="V112" s="182">
        <v>1.69</v>
      </c>
      <c r="W112" s="183">
        <v>24</v>
      </c>
      <c r="X112" s="185">
        <v>19</v>
      </c>
      <c r="Y112" s="183">
        <v>226406080</v>
      </c>
      <c r="Z112" s="179" t="s">
        <v>270</v>
      </c>
      <c r="AA112" s="183">
        <v>2023040</v>
      </c>
      <c r="AB112" s="184">
        <v>3488000</v>
      </c>
      <c r="AC112" s="184">
        <v>5545920</v>
      </c>
      <c r="AD112" s="184">
        <v>732480</v>
      </c>
      <c r="AE112" s="184">
        <v>3767040</v>
      </c>
      <c r="AF112" s="177" t="s">
        <v>200</v>
      </c>
      <c r="AG112" s="184">
        <v>1953280</v>
      </c>
      <c r="AH112" s="184">
        <v>1709120</v>
      </c>
      <c r="AI112" s="184">
        <v>7603840</v>
      </c>
      <c r="AJ112" s="184">
        <v>17335360</v>
      </c>
      <c r="AK112" s="184">
        <v>2720640</v>
      </c>
      <c r="AL112" s="184">
        <v>10289600</v>
      </c>
      <c r="AM112" s="184">
        <v>767360</v>
      </c>
      <c r="AN112" s="184">
        <v>2929920</v>
      </c>
      <c r="AO112" s="184">
        <v>837120</v>
      </c>
      <c r="AP112" s="184">
        <v>17405120</v>
      </c>
      <c r="AQ112" s="184">
        <v>34880</v>
      </c>
      <c r="AR112" s="184">
        <v>17335360</v>
      </c>
      <c r="AS112" s="184">
        <v>25532160</v>
      </c>
      <c r="AT112" s="184">
        <v>0</v>
      </c>
      <c r="AU112" s="184">
        <v>558080</v>
      </c>
      <c r="AV112" s="184">
        <v>0</v>
      </c>
      <c r="AW112" s="184">
        <v>418560</v>
      </c>
      <c r="AX112" s="184">
        <v>43390720</v>
      </c>
      <c r="AY112" s="184">
        <v>348800</v>
      </c>
      <c r="AZ112" s="184">
        <v>17021440</v>
      </c>
      <c r="BA112" s="184">
        <v>6138880</v>
      </c>
      <c r="BB112" s="184">
        <v>1325440</v>
      </c>
      <c r="BC112" s="177" t="s">
        <v>200</v>
      </c>
      <c r="BD112" s="184">
        <v>3627520</v>
      </c>
      <c r="BE112" s="184">
        <v>3104320</v>
      </c>
      <c r="BF112" s="184">
        <v>1220800</v>
      </c>
      <c r="BG112" s="184">
        <v>24555520</v>
      </c>
      <c r="BH112" s="184">
        <v>872000</v>
      </c>
      <c r="BI112" s="184">
        <v>1813760</v>
      </c>
      <c r="BJ112" s="187" t="s">
        <v>200</v>
      </c>
    </row>
    <row r="113" spans="2:62" x14ac:dyDescent="0.2">
      <c r="B113" s="175">
        <v>45852</v>
      </c>
      <c r="C113" s="176">
        <v>45852.458887083332</v>
      </c>
      <c r="D113" s="177" t="s">
        <v>267</v>
      </c>
      <c r="E113" s="178" t="s">
        <v>268</v>
      </c>
      <c r="F113" s="179" t="s">
        <v>269</v>
      </c>
      <c r="G113" s="180">
        <v>70.42</v>
      </c>
      <c r="H113" s="181">
        <v>64</v>
      </c>
      <c r="I113" s="181">
        <v>80</v>
      </c>
      <c r="J113" s="181">
        <v>70.31</v>
      </c>
      <c r="K113" s="182">
        <v>70.09</v>
      </c>
      <c r="L113" s="183">
        <v>3245500</v>
      </c>
      <c r="M113" s="184">
        <v>5449000</v>
      </c>
      <c r="N113" s="184">
        <v>94</v>
      </c>
      <c r="O113" s="184">
        <v>29</v>
      </c>
      <c r="P113" s="181">
        <v>4.09</v>
      </c>
      <c r="Q113" s="184">
        <v>57968</v>
      </c>
      <c r="R113" s="184">
        <v>236913</v>
      </c>
      <c r="S113" s="184">
        <v>291101</v>
      </c>
      <c r="T113" s="184">
        <v>202844</v>
      </c>
      <c r="U113" s="184">
        <v>286511</v>
      </c>
      <c r="V113" s="182">
        <v>1.68</v>
      </c>
      <c r="W113" s="183">
        <v>23</v>
      </c>
      <c r="X113" s="185">
        <v>16</v>
      </c>
      <c r="Y113" s="183">
        <v>228548110</v>
      </c>
      <c r="Z113" s="179" t="s">
        <v>270</v>
      </c>
      <c r="AA113" s="183">
        <v>2042180</v>
      </c>
      <c r="AB113" s="184">
        <v>3521000</v>
      </c>
      <c r="AC113" s="184">
        <v>5598390</v>
      </c>
      <c r="AD113" s="184">
        <v>739410</v>
      </c>
      <c r="AE113" s="184">
        <v>3802680</v>
      </c>
      <c r="AF113" s="177" t="s">
        <v>200</v>
      </c>
      <c r="AG113" s="184">
        <v>1971760</v>
      </c>
      <c r="AH113" s="184">
        <v>1725290</v>
      </c>
      <c r="AI113" s="184">
        <v>7675780</v>
      </c>
      <c r="AJ113" s="184">
        <v>17499370</v>
      </c>
      <c r="AK113" s="184">
        <v>2746380</v>
      </c>
      <c r="AL113" s="184">
        <v>10386950</v>
      </c>
      <c r="AM113" s="184">
        <v>774620</v>
      </c>
      <c r="AN113" s="184">
        <v>2957640</v>
      </c>
      <c r="AO113" s="184">
        <v>845040</v>
      </c>
      <c r="AP113" s="184">
        <v>17569790</v>
      </c>
      <c r="AQ113" s="184">
        <v>35210</v>
      </c>
      <c r="AR113" s="184">
        <v>17499370</v>
      </c>
      <c r="AS113" s="184">
        <v>25773720</v>
      </c>
      <c r="AT113" s="184">
        <v>0</v>
      </c>
      <c r="AU113" s="184">
        <v>563360</v>
      </c>
      <c r="AV113" s="184">
        <v>0</v>
      </c>
      <c r="AW113" s="184">
        <v>422520</v>
      </c>
      <c r="AX113" s="184">
        <v>43801240</v>
      </c>
      <c r="AY113" s="184">
        <v>352100</v>
      </c>
      <c r="AZ113" s="184">
        <v>17182480</v>
      </c>
      <c r="BA113" s="184">
        <v>6196960</v>
      </c>
      <c r="BB113" s="184">
        <v>1337980</v>
      </c>
      <c r="BC113" s="177" t="s">
        <v>200</v>
      </c>
      <c r="BD113" s="184">
        <v>3661840</v>
      </c>
      <c r="BE113" s="184">
        <v>3133690</v>
      </c>
      <c r="BF113" s="184">
        <v>1232350</v>
      </c>
      <c r="BG113" s="184">
        <v>24787840</v>
      </c>
      <c r="BH113" s="184">
        <v>880250</v>
      </c>
      <c r="BI113" s="184">
        <v>1830920</v>
      </c>
      <c r="BJ113" s="187" t="s">
        <v>200</v>
      </c>
    </row>
    <row r="114" spans="2:62" x14ac:dyDescent="0.2">
      <c r="B114" s="175">
        <v>45849</v>
      </c>
      <c r="C114" s="176">
        <v>45849.458716932873</v>
      </c>
      <c r="D114" s="177" t="s">
        <v>271</v>
      </c>
      <c r="E114" s="178" t="s">
        <v>268</v>
      </c>
      <c r="F114" s="179" t="s">
        <v>269</v>
      </c>
      <c r="G114" s="180">
        <v>69.3</v>
      </c>
      <c r="H114" s="181">
        <v>64</v>
      </c>
      <c r="I114" s="181">
        <v>80</v>
      </c>
      <c r="J114" s="181">
        <v>69.16</v>
      </c>
      <c r="K114" s="182">
        <v>69.03</v>
      </c>
      <c r="L114" s="183">
        <v>1607000</v>
      </c>
      <c r="M114" s="184">
        <v>3374500</v>
      </c>
      <c r="N114" s="184">
        <v>80</v>
      </c>
      <c r="O114" s="184">
        <v>19</v>
      </c>
      <c r="P114" s="181">
        <v>4.4400000000000004</v>
      </c>
      <c r="Q114" s="184">
        <v>42181</v>
      </c>
      <c r="R114" s="184">
        <v>187472</v>
      </c>
      <c r="S114" s="184">
        <v>254524</v>
      </c>
      <c r="T114" s="184">
        <v>133917</v>
      </c>
      <c r="U114" s="184">
        <v>275450</v>
      </c>
      <c r="V114" s="182">
        <v>2.1</v>
      </c>
      <c r="W114" s="183">
        <v>18</v>
      </c>
      <c r="X114" s="185">
        <v>12</v>
      </c>
      <c r="Y114" s="183">
        <v>111365100</v>
      </c>
      <c r="Z114" s="179" t="s">
        <v>272</v>
      </c>
      <c r="AA114" s="186" t="s">
        <v>200</v>
      </c>
      <c r="AB114" s="177" t="s">
        <v>200</v>
      </c>
      <c r="AC114" s="177" t="s">
        <v>200</v>
      </c>
      <c r="AD114" s="177" t="s">
        <v>200</v>
      </c>
      <c r="AE114" s="177" t="s">
        <v>200</v>
      </c>
      <c r="AF114" s="184">
        <v>111365100</v>
      </c>
      <c r="AG114" s="177" t="s">
        <v>200</v>
      </c>
      <c r="AH114" s="177" t="s">
        <v>200</v>
      </c>
      <c r="AI114" s="177" t="s">
        <v>200</v>
      </c>
      <c r="AJ114" s="177" t="s">
        <v>200</v>
      </c>
      <c r="AK114" s="177" t="s">
        <v>200</v>
      </c>
      <c r="AL114" s="177" t="s">
        <v>200</v>
      </c>
      <c r="AM114" s="177" t="s">
        <v>200</v>
      </c>
      <c r="AN114" s="177" t="s">
        <v>200</v>
      </c>
      <c r="AO114" s="177" t="s">
        <v>200</v>
      </c>
      <c r="AP114" s="177" t="s">
        <v>200</v>
      </c>
      <c r="AQ114" s="177" t="s">
        <v>200</v>
      </c>
      <c r="AR114" s="177" t="s">
        <v>200</v>
      </c>
      <c r="AS114" s="177" t="s">
        <v>200</v>
      </c>
      <c r="AT114" s="177" t="s">
        <v>200</v>
      </c>
      <c r="AU114" s="177" t="s">
        <v>200</v>
      </c>
      <c r="AV114" s="177" t="s">
        <v>200</v>
      </c>
      <c r="AW114" s="177" t="s">
        <v>200</v>
      </c>
      <c r="AX114" s="177" t="s">
        <v>200</v>
      </c>
      <c r="AY114" s="177" t="s">
        <v>200</v>
      </c>
      <c r="AZ114" s="177" t="s">
        <v>200</v>
      </c>
      <c r="BA114" s="177" t="s">
        <v>200</v>
      </c>
      <c r="BB114" s="177" t="s">
        <v>200</v>
      </c>
      <c r="BC114" s="177" t="s">
        <v>200</v>
      </c>
      <c r="BD114" s="177" t="s">
        <v>200</v>
      </c>
      <c r="BE114" s="177" t="s">
        <v>200</v>
      </c>
      <c r="BF114" s="177" t="s">
        <v>200</v>
      </c>
      <c r="BG114" s="177" t="s">
        <v>200</v>
      </c>
      <c r="BH114" s="177" t="s">
        <v>200</v>
      </c>
      <c r="BI114" s="177" t="s">
        <v>200</v>
      </c>
      <c r="BJ114" s="187" t="s">
        <v>200</v>
      </c>
    </row>
    <row r="115" spans="2:62" x14ac:dyDescent="0.2">
      <c r="B115" s="175">
        <v>45848</v>
      </c>
      <c r="C115" s="176">
        <v>45848.459558726849</v>
      </c>
      <c r="D115" s="177" t="s">
        <v>267</v>
      </c>
      <c r="E115" s="178" t="s">
        <v>268</v>
      </c>
      <c r="F115" s="179" t="s">
        <v>269</v>
      </c>
      <c r="G115" s="180">
        <v>70.44</v>
      </c>
      <c r="H115" s="181">
        <v>64</v>
      </c>
      <c r="I115" s="181">
        <v>85</v>
      </c>
      <c r="J115" s="181">
        <v>70.67</v>
      </c>
      <c r="K115" s="182">
        <v>70.33</v>
      </c>
      <c r="L115" s="183">
        <v>3245500</v>
      </c>
      <c r="M115" s="184">
        <v>4374500</v>
      </c>
      <c r="N115" s="184">
        <v>87</v>
      </c>
      <c r="O115" s="184">
        <v>34</v>
      </c>
      <c r="P115" s="181">
        <v>4.3499999999999996</v>
      </c>
      <c r="Q115" s="184">
        <v>50282</v>
      </c>
      <c r="R115" s="184">
        <v>218725</v>
      </c>
      <c r="S115" s="184">
        <v>283258</v>
      </c>
      <c r="T115" s="184">
        <v>190912</v>
      </c>
      <c r="U115" s="184">
        <v>267614</v>
      </c>
      <c r="V115" s="182">
        <v>1.35</v>
      </c>
      <c r="W115" s="183">
        <v>20</v>
      </c>
      <c r="X115" s="185">
        <v>17</v>
      </c>
      <c r="Y115" s="183">
        <v>228613020</v>
      </c>
      <c r="Z115" s="179" t="s">
        <v>270</v>
      </c>
      <c r="AA115" s="183">
        <v>2042760</v>
      </c>
      <c r="AB115" s="184">
        <v>3522000</v>
      </c>
      <c r="AC115" s="184">
        <v>5599980</v>
      </c>
      <c r="AD115" s="184">
        <v>739620</v>
      </c>
      <c r="AE115" s="184">
        <v>3803760</v>
      </c>
      <c r="AF115" s="177" t="s">
        <v>200</v>
      </c>
      <c r="AG115" s="184">
        <v>1972320</v>
      </c>
      <c r="AH115" s="184">
        <v>1725780</v>
      </c>
      <c r="AI115" s="184">
        <v>7677960</v>
      </c>
      <c r="AJ115" s="184">
        <v>17504340</v>
      </c>
      <c r="AK115" s="184">
        <v>2747160</v>
      </c>
      <c r="AL115" s="184">
        <v>10389900</v>
      </c>
      <c r="AM115" s="184">
        <v>774840</v>
      </c>
      <c r="AN115" s="184">
        <v>2958480</v>
      </c>
      <c r="AO115" s="184">
        <v>845280</v>
      </c>
      <c r="AP115" s="184">
        <v>17574780</v>
      </c>
      <c r="AQ115" s="184">
        <v>35220</v>
      </c>
      <c r="AR115" s="184">
        <v>17504340</v>
      </c>
      <c r="AS115" s="184">
        <v>25781040</v>
      </c>
      <c r="AT115" s="184">
        <v>0</v>
      </c>
      <c r="AU115" s="184">
        <v>563520</v>
      </c>
      <c r="AV115" s="184">
        <v>0</v>
      </c>
      <c r="AW115" s="184">
        <v>422640</v>
      </c>
      <c r="AX115" s="184">
        <v>43813680</v>
      </c>
      <c r="AY115" s="184">
        <v>352200</v>
      </c>
      <c r="AZ115" s="184">
        <v>17187360</v>
      </c>
      <c r="BA115" s="184">
        <v>6198720</v>
      </c>
      <c r="BB115" s="184">
        <v>1338360</v>
      </c>
      <c r="BC115" s="177" t="s">
        <v>200</v>
      </c>
      <c r="BD115" s="184">
        <v>3662880</v>
      </c>
      <c r="BE115" s="184">
        <v>3134580</v>
      </c>
      <c r="BF115" s="184">
        <v>1232700</v>
      </c>
      <c r="BG115" s="184">
        <v>24794880</v>
      </c>
      <c r="BH115" s="184">
        <v>880500</v>
      </c>
      <c r="BI115" s="184">
        <v>1831440</v>
      </c>
      <c r="BJ115" s="187" t="s">
        <v>200</v>
      </c>
    </row>
    <row r="116" spans="2:62" x14ac:dyDescent="0.2">
      <c r="B116" s="175">
        <v>45847</v>
      </c>
      <c r="C116" s="176">
        <v>45847.458596574077</v>
      </c>
      <c r="D116" s="177" t="s">
        <v>273</v>
      </c>
      <c r="E116" s="178" t="s">
        <v>268</v>
      </c>
      <c r="F116" s="179" t="s">
        <v>269</v>
      </c>
      <c r="G116" s="180">
        <v>69.88</v>
      </c>
      <c r="H116" s="181">
        <v>64</v>
      </c>
      <c r="I116" s="181">
        <v>85</v>
      </c>
      <c r="J116" s="181">
        <v>70.099999999999994</v>
      </c>
      <c r="K116" s="182">
        <v>69.599999999999994</v>
      </c>
      <c r="L116" s="183">
        <v>2072500</v>
      </c>
      <c r="M116" s="184">
        <v>3359000</v>
      </c>
      <c r="N116" s="184">
        <v>87</v>
      </c>
      <c r="O116" s="184">
        <v>26</v>
      </c>
      <c r="P116" s="181">
        <v>3.95</v>
      </c>
      <c r="Q116" s="184">
        <v>38609</v>
      </c>
      <c r="R116" s="184">
        <v>152682</v>
      </c>
      <c r="S116" s="184">
        <v>210799</v>
      </c>
      <c r="T116" s="184">
        <v>138167</v>
      </c>
      <c r="U116" s="184">
        <v>236749</v>
      </c>
      <c r="V116" s="182">
        <v>1.62</v>
      </c>
      <c r="W116" s="183">
        <v>22</v>
      </c>
      <c r="X116" s="185">
        <v>15</v>
      </c>
      <c r="Y116" s="183">
        <v>144826300</v>
      </c>
      <c r="Z116" s="179" t="s">
        <v>274</v>
      </c>
      <c r="AA116" s="186" t="s">
        <v>200</v>
      </c>
      <c r="AB116" s="177" t="s">
        <v>200</v>
      </c>
      <c r="AC116" s="177" t="s">
        <v>200</v>
      </c>
      <c r="AD116" s="177" t="s">
        <v>200</v>
      </c>
      <c r="AE116" s="177" t="s">
        <v>200</v>
      </c>
      <c r="AF116" s="177" t="s">
        <v>200</v>
      </c>
      <c r="AG116" s="177" t="s">
        <v>200</v>
      </c>
      <c r="AH116" s="177" t="s">
        <v>200</v>
      </c>
      <c r="AI116" s="177" t="s">
        <v>200</v>
      </c>
      <c r="AJ116" s="177" t="s">
        <v>200</v>
      </c>
      <c r="AK116" s="177" t="s">
        <v>200</v>
      </c>
      <c r="AL116" s="177" t="s">
        <v>200</v>
      </c>
      <c r="AM116" s="177" t="s">
        <v>200</v>
      </c>
      <c r="AN116" s="177" t="s">
        <v>200</v>
      </c>
      <c r="AO116" s="177" t="s">
        <v>200</v>
      </c>
      <c r="AP116" s="177" t="s">
        <v>200</v>
      </c>
      <c r="AQ116" s="177" t="s">
        <v>200</v>
      </c>
      <c r="AR116" s="177" t="s">
        <v>200</v>
      </c>
      <c r="AS116" s="177" t="s">
        <v>200</v>
      </c>
      <c r="AT116" s="177" t="s">
        <v>200</v>
      </c>
      <c r="AU116" s="177" t="s">
        <v>200</v>
      </c>
      <c r="AV116" s="177" t="s">
        <v>200</v>
      </c>
      <c r="AW116" s="177" t="s">
        <v>200</v>
      </c>
      <c r="AX116" s="177" t="s">
        <v>200</v>
      </c>
      <c r="AY116" s="177" t="s">
        <v>200</v>
      </c>
      <c r="AZ116" s="177" t="s">
        <v>200</v>
      </c>
      <c r="BA116" s="177" t="s">
        <v>200</v>
      </c>
      <c r="BB116" s="177" t="s">
        <v>200</v>
      </c>
      <c r="BC116" s="184">
        <v>144826300</v>
      </c>
      <c r="BD116" s="177" t="s">
        <v>200</v>
      </c>
      <c r="BE116" s="177" t="s">
        <v>200</v>
      </c>
      <c r="BF116" s="177" t="s">
        <v>200</v>
      </c>
      <c r="BG116" s="177" t="s">
        <v>200</v>
      </c>
      <c r="BH116" s="177" t="s">
        <v>200</v>
      </c>
      <c r="BI116" s="177" t="s">
        <v>200</v>
      </c>
      <c r="BJ116" s="187" t="s">
        <v>200</v>
      </c>
    </row>
    <row r="117" spans="2:62" x14ac:dyDescent="0.2">
      <c r="B117" s="175">
        <v>45846</v>
      </c>
      <c r="C117" s="176">
        <v>45846.458904571758</v>
      </c>
      <c r="D117" s="177" t="s">
        <v>267</v>
      </c>
      <c r="E117" s="178" t="s">
        <v>268</v>
      </c>
      <c r="F117" s="179" t="s">
        <v>269</v>
      </c>
      <c r="G117" s="180">
        <v>69.959999999999994</v>
      </c>
      <c r="H117" s="181">
        <v>68.05</v>
      </c>
      <c r="I117" s="181">
        <v>120</v>
      </c>
      <c r="J117" s="181">
        <v>71.180000000000007</v>
      </c>
      <c r="K117" s="182">
        <v>69.760000000000005</v>
      </c>
      <c r="L117" s="183">
        <v>3245500</v>
      </c>
      <c r="M117" s="184">
        <v>4906500</v>
      </c>
      <c r="N117" s="184">
        <v>94</v>
      </c>
      <c r="O117" s="184">
        <v>32</v>
      </c>
      <c r="P117" s="181">
        <v>4.2699999999999996</v>
      </c>
      <c r="Q117" s="184">
        <v>52197</v>
      </c>
      <c r="R117" s="184">
        <v>223023</v>
      </c>
      <c r="S117" s="184">
        <v>299207</v>
      </c>
      <c r="T117" s="184">
        <v>170816</v>
      </c>
      <c r="U117" s="184">
        <v>303226</v>
      </c>
      <c r="V117" s="182">
        <v>1.51</v>
      </c>
      <c r="W117" s="183">
        <v>22</v>
      </c>
      <c r="X117" s="185">
        <v>19</v>
      </c>
      <c r="Y117" s="183">
        <v>227055180</v>
      </c>
      <c r="Z117" s="179" t="s">
        <v>270</v>
      </c>
      <c r="AA117" s="183">
        <v>2028840</v>
      </c>
      <c r="AB117" s="184">
        <v>3498000</v>
      </c>
      <c r="AC117" s="184">
        <v>5561820</v>
      </c>
      <c r="AD117" s="184">
        <v>734580</v>
      </c>
      <c r="AE117" s="184">
        <v>3777840</v>
      </c>
      <c r="AF117" s="177" t="s">
        <v>200</v>
      </c>
      <c r="AG117" s="184">
        <v>1958880</v>
      </c>
      <c r="AH117" s="184">
        <v>1714020</v>
      </c>
      <c r="AI117" s="184">
        <v>7625640</v>
      </c>
      <c r="AJ117" s="184">
        <v>17385060</v>
      </c>
      <c r="AK117" s="184">
        <v>2728440</v>
      </c>
      <c r="AL117" s="184">
        <v>10319100</v>
      </c>
      <c r="AM117" s="184">
        <v>769560</v>
      </c>
      <c r="AN117" s="184">
        <v>2938320</v>
      </c>
      <c r="AO117" s="184">
        <v>839520</v>
      </c>
      <c r="AP117" s="184">
        <v>17455020</v>
      </c>
      <c r="AQ117" s="184">
        <v>34980</v>
      </c>
      <c r="AR117" s="184">
        <v>17385060</v>
      </c>
      <c r="AS117" s="184">
        <v>25605360</v>
      </c>
      <c r="AT117" s="184">
        <v>0</v>
      </c>
      <c r="AU117" s="184">
        <v>559680</v>
      </c>
      <c r="AV117" s="184">
        <v>0</v>
      </c>
      <c r="AW117" s="184">
        <v>419760</v>
      </c>
      <c r="AX117" s="184">
        <v>43515120</v>
      </c>
      <c r="AY117" s="184">
        <v>349800</v>
      </c>
      <c r="AZ117" s="184">
        <v>17070240</v>
      </c>
      <c r="BA117" s="184">
        <v>6156480</v>
      </c>
      <c r="BB117" s="184">
        <v>1329240</v>
      </c>
      <c r="BC117" s="177" t="s">
        <v>200</v>
      </c>
      <c r="BD117" s="184">
        <v>3637920</v>
      </c>
      <c r="BE117" s="184">
        <v>3113220</v>
      </c>
      <c r="BF117" s="184">
        <v>1224300</v>
      </c>
      <c r="BG117" s="184">
        <v>24625920</v>
      </c>
      <c r="BH117" s="184">
        <v>874500</v>
      </c>
      <c r="BI117" s="184">
        <v>1818960</v>
      </c>
      <c r="BJ117" s="187" t="s">
        <v>200</v>
      </c>
    </row>
    <row r="118" spans="2:62" x14ac:dyDescent="0.2">
      <c r="B118" s="175">
        <v>45845</v>
      </c>
      <c r="C118" s="176">
        <v>45845.458778356478</v>
      </c>
      <c r="D118" s="177" t="s">
        <v>267</v>
      </c>
      <c r="E118" s="178" t="s">
        <v>268</v>
      </c>
      <c r="F118" s="179" t="s">
        <v>269</v>
      </c>
      <c r="G118" s="180">
        <v>70.34</v>
      </c>
      <c r="H118" s="181">
        <v>66</v>
      </c>
      <c r="I118" s="181">
        <v>80</v>
      </c>
      <c r="J118" s="181">
        <v>70.680000000000007</v>
      </c>
      <c r="K118" s="182">
        <v>70.08</v>
      </c>
      <c r="L118" s="183">
        <v>3245500</v>
      </c>
      <c r="M118" s="184">
        <v>4751000</v>
      </c>
      <c r="N118" s="184">
        <v>96</v>
      </c>
      <c r="O118" s="184">
        <v>32</v>
      </c>
      <c r="P118" s="181">
        <v>4.57</v>
      </c>
      <c r="Q118" s="184">
        <v>49490</v>
      </c>
      <c r="R118" s="184">
        <v>226238</v>
      </c>
      <c r="S118" s="184">
        <v>262876</v>
      </c>
      <c r="T118" s="184">
        <v>216367</v>
      </c>
      <c r="U118" s="184">
        <v>261134</v>
      </c>
      <c r="V118" s="182">
        <v>1.46</v>
      </c>
      <c r="W118" s="183">
        <v>21</v>
      </c>
      <c r="X118" s="185">
        <v>15</v>
      </c>
      <c r="Y118" s="183">
        <v>228288470</v>
      </c>
      <c r="Z118" s="179" t="s">
        <v>270</v>
      </c>
      <c r="AA118" s="183">
        <v>2039860</v>
      </c>
      <c r="AB118" s="184">
        <v>3517000</v>
      </c>
      <c r="AC118" s="184">
        <v>5592030</v>
      </c>
      <c r="AD118" s="184">
        <v>738570</v>
      </c>
      <c r="AE118" s="184">
        <v>3798360</v>
      </c>
      <c r="AF118" s="177" t="s">
        <v>200</v>
      </c>
      <c r="AG118" s="184">
        <v>1969520</v>
      </c>
      <c r="AH118" s="184">
        <v>1723330</v>
      </c>
      <c r="AI118" s="184">
        <v>7667060</v>
      </c>
      <c r="AJ118" s="184">
        <v>17479490</v>
      </c>
      <c r="AK118" s="184">
        <v>2743260</v>
      </c>
      <c r="AL118" s="184">
        <v>10375150</v>
      </c>
      <c r="AM118" s="184">
        <v>773740</v>
      </c>
      <c r="AN118" s="184">
        <v>2954280</v>
      </c>
      <c r="AO118" s="184">
        <v>844080</v>
      </c>
      <c r="AP118" s="184">
        <v>17549830</v>
      </c>
      <c r="AQ118" s="184">
        <v>35170</v>
      </c>
      <c r="AR118" s="184">
        <v>17479490</v>
      </c>
      <c r="AS118" s="184">
        <v>25744440</v>
      </c>
      <c r="AT118" s="184">
        <v>0</v>
      </c>
      <c r="AU118" s="184">
        <v>562720</v>
      </c>
      <c r="AV118" s="184">
        <v>0</v>
      </c>
      <c r="AW118" s="184">
        <v>422040</v>
      </c>
      <c r="AX118" s="184">
        <v>43751480</v>
      </c>
      <c r="AY118" s="184">
        <v>351700</v>
      </c>
      <c r="AZ118" s="184">
        <v>17162960</v>
      </c>
      <c r="BA118" s="184">
        <v>6189920</v>
      </c>
      <c r="BB118" s="184">
        <v>1336460</v>
      </c>
      <c r="BC118" s="177" t="s">
        <v>200</v>
      </c>
      <c r="BD118" s="184">
        <v>3657680</v>
      </c>
      <c r="BE118" s="184">
        <v>3130130</v>
      </c>
      <c r="BF118" s="184">
        <v>1230950</v>
      </c>
      <c r="BG118" s="184">
        <v>24759680</v>
      </c>
      <c r="BH118" s="184">
        <v>879250</v>
      </c>
      <c r="BI118" s="184">
        <v>1828840</v>
      </c>
      <c r="BJ118" s="187" t="s">
        <v>200</v>
      </c>
    </row>
    <row r="119" spans="2:62" x14ac:dyDescent="0.2">
      <c r="B119" s="175">
        <v>45842</v>
      </c>
      <c r="C119" s="176">
        <v>45842.45879809028</v>
      </c>
      <c r="D119" s="177" t="s">
        <v>271</v>
      </c>
      <c r="E119" s="178" t="s">
        <v>268</v>
      </c>
      <c r="F119" s="179" t="s">
        <v>269</v>
      </c>
      <c r="G119" s="180">
        <v>70.849999999999994</v>
      </c>
      <c r="H119" s="181">
        <v>68</v>
      </c>
      <c r="I119" s="181">
        <v>120</v>
      </c>
      <c r="J119" s="181">
        <v>71.88</v>
      </c>
      <c r="K119" s="182">
        <v>70.58</v>
      </c>
      <c r="L119" s="183">
        <v>1607000</v>
      </c>
      <c r="M119" s="184">
        <v>3507000</v>
      </c>
      <c r="N119" s="184">
        <v>90</v>
      </c>
      <c r="O119" s="184">
        <v>19</v>
      </c>
      <c r="P119" s="181">
        <v>4.29</v>
      </c>
      <c r="Q119" s="184">
        <v>38967</v>
      </c>
      <c r="R119" s="184">
        <v>167000</v>
      </c>
      <c r="S119" s="184">
        <v>173915</v>
      </c>
      <c r="T119" s="184">
        <v>133917</v>
      </c>
      <c r="U119" s="184">
        <v>185533</v>
      </c>
      <c r="V119" s="182">
        <v>2.1800000000000002</v>
      </c>
      <c r="W119" s="183">
        <v>21</v>
      </c>
      <c r="X119" s="185">
        <v>12</v>
      </c>
      <c r="Y119" s="183">
        <v>113855950</v>
      </c>
      <c r="Z119" s="179" t="s">
        <v>272</v>
      </c>
      <c r="AA119" s="186" t="s">
        <v>200</v>
      </c>
      <c r="AB119" s="177" t="s">
        <v>200</v>
      </c>
      <c r="AC119" s="177" t="s">
        <v>200</v>
      </c>
      <c r="AD119" s="177" t="s">
        <v>200</v>
      </c>
      <c r="AE119" s="177" t="s">
        <v>200</v>
      </c>
      <c r="AF119" s="184">
        <v>113855950</v>
      </c>
      <c r="AG119" s="177" t="s">
        <v>200</v>
      </c>
      <c r="AH119" s="177" t="s">
        <v>200</v>
      </c>
      <c r="AI119" s="177" t="s">
        <v>200</v>
      </c>
      <c r="AJ119" s="177" t="s">
        <v>200</v>
      </c>
      <c r="AK119" s="177" t="s">
        <v>200</v>
      </c>
      <c r="AL119" s="177" t="s">
        <v>200</v>
      </c>
      <c r="AM119" s="177" t="s">
        <v>200</v>
      </c>
      <c r="AN119" s="177" t="s">
        <v>200</v>
      </c>
      <c r="AO119" s="177" t="s">
        <v>200</v>
      </c>
      <c r="AP119" s="177" t="s">
        <v>200</v>
      </c>
      <c r="AQ119" s="177" t="s">
        <v>200</v>
      </c>
      <c r="AR119" s="177" t="s">
        <v>200</v>
      </c>
      <c r="AS119" s="177" t="s">
        <v>200</v>
      </c>
      <c r="AT119" s="177" t="s">
        <v>200</v>
      </c>
      <c r="AU119" s="177" t="s">
        <v>200</v>
      </c>
      <c r="AV119" s="177" t="s">
        <v>200</v>
      </c>
      <c r="AW119" s="177" t="s">
        <v>200</v>
      </c>
      <c r="AX119" s="177" t="s">
        <v>200</v>
      </c>
      <c r="AY119" s="177" t="s">
        <v>200</v>
      </c>
      <c r="AZ119" s="177" t="s">
        <v>200</v>
      </c>
      <c r="BA119" s="177" t="s">
        <v>200</v>
      </c>
      <c r="BB119" s="177" t="s">
        <v>200</v>
      </c>
      <c r="BC119" s="177" t="s">
        <v>200</v>
      </c>
      <c r="BD119" s="177" t="s">
        <v>200</v>
      </c>
      <c r="BE119" s="177" t="s">
        <v>200</v>
      </c>
      <c r="BF119" s="177" t="s">
        <v>200</v>
      </c>
      <c r="BG119" s="177" t="s">
        <v>200</v>
      </c>
      <c r="BH119" s="177" t="s">
        <v>200</v>
      </c>
      <c r="BI119" s="177" t="s">
        <v>200</v>
      </c>
      <c r="BJ119" s="187" t="s">
        <v>200</v>
      </c>
    </row>
    <row r="120" spans="2:62" x14ac:dyDescent="0.2">
      <c r="B120" s="175">
        <v>45841</v>
      </c>
      <c r="C120" s="176">
        <v>45841.458644629631</v>
      </c>
      <c r="D120" s="177" t="s">
        <v>267</v>
      </c>
      <c r="E120" s="178" t="s">
        <v>268</v>
      </c>
      <c r="F120" s="179" t="s">
        <v>269</v>
      </c>
      <c r="G120" s="180">
        <v>70.52</v>
      </c>
      <c r="H120" s="181">
        <v>64</v>
      </c>
      <c r="I120" s="181">
        <v>81.8</v>
      </c>
      <c r="J120" s="181">
        <v>70.8</v>
      </c>
      <c r="K120" s="182">
        <v>70.33</v>
      </c>
      <c r="L120" s="183">
        <v>3245500</v>
      </c>
      <c r="M120" s="184">
        <v>5493500</v>
      </c>
      <c r="N120" s="184">
        <v>105</v>
      </c>
      <c r="O120" s="184">
        <v>38</v>
      </c>
      <c r="P120" s="181">
        <v>4.2</v>
      </c>
      <c r="Q120" s="184">
        <v>52319</v>
      </c>
      <c r="R120" s="184">
        <v>219740</v>
      </c>
      <c r="S120" s="184">
        <v>324986</v>
      </c>
      <c r="T120" s="184">
        <v>162275</v>
      </c>
      <c r="U120" s="184">
        <v>308863</v>
      </c>
      <c r="V120" s="182">
        <v>1.69</v>
      </c>
      <c r="W120" s="183">
        <v>25</v>
      </c>
      <c r="X120" s="185">
        <v>20</v>
      </c>
      <c r="Y120" s="183">
        <v>228872660</v>
      </c>
      <c r="Z120" s="179" t="s">
        <v>270</v>
      </c>
      <c r="AA120" s="183">
        <v>2045080</v>
      </c>
      <c r="AB120" s="184">
        <v>3526000</v>
      </c>
      <c r="AC120" s="184">
        <v>5606340</v>
      </c>
      <c r="AD120" s="184">
        <v>740460</v>
      </c>
      <c r="AE120" s="184">
        <v>3808080</v>
      </c>
      <c r="AF120" s="177" t="s">
        <v>200</v>
      </c>
      <c r="AG120" s="184">
        <v>1974560</v>
      </c>
      <c r="AH120" s="184">
        <v>1727740</v>
      </c>
      <c r="AI120" s="184">
        <v>7686680</v>
      </c>
      <c r="AJ120" s="184">
        <v>17524220</v>
      </c>
      <c r="AK120" s="184">
        <v>2750280</v>
      </c>
      <c r="AL120" s="184">
        <v>10401700</v>
      </c>
      <c r="AM120" s="184">
        <v>775720</v>
      </c>
      <c r="AN120" s="184">
        <v>2961840</v>
      </c>
      <c r="AO120" s="184">
        <v>846240</v>
      </c>
      <c r="AP120" s="184">
        <v>17594740</v>
      </c>
      <c r="AQ120" s="184">
        <v>35260</v>
      </c>
      <c r="AR120" s="184">
        <v>17524220</v>
      </c>
      <c r="AS120" s="184">
        <v>25810320</v>
      </c>
      <c r="AT120" s="184">
        <v>0</v>
      </c>
      <c r="AU120" s="184">
        <v>564160</v>
      </c>
      <c r="AV120" s="184">
        <v>0</v>
      </c>
      <c r="AW120" s="184">
        <v>423120</v>
      </c>
      <c r="AX120" s="184">
        <v>43863440</v>
      </c>
      <c r="AY120" s="184">
        <v>352600</v>
      </c>
      <c r="AZ120" s="184">
        <v>17206880</v>
      </c>
      <c r="BA120" s="184">
        <v>6205760</v>
      </c>
      <c r="BB120" s="184">
        <v>1339880</v>
      </c>
      <c r="BC120" s="177" t="s">
        <v>200</v>
      </c>
      <c r="BD120" s="184">
        <v>3667040</v>
      </c>
      <c r="BE120" s="184">
        <v>3138140</v>
      </c>
      <c r="BF120" s="184">
        <v>1234100</v>
      </c>
      <c r="BG120" s="184">
        <v>24823040</v>
      </c>
      <c r="BH120" s="184">
        <v>881500</v>
      </c>
      <c r="BI120" s="184">
        <v>1833520</v>
      </c>
      <c r="BJ120" s="187" t="s">
        <v>200</v>
      </c>
    </row>
    <row r="121" spans="2:62" x14ac:dyDescent="0.2">
      <c r="B121" s="175">
        <v>45839</v>
      </c>
      <c r="C121" s="176">
        <v>45839.458658240743</v>
      </c>
      <c r="D121" s="177" t="s">
        <v>267</v>
      </c>
      <c r="E121" s="178" t="s">
        <v>268</v>
      </c>
      <c r="F121" s="179" t="s">
        <v>269</v>
      </c>
      <c r="G121" s="180">
        <v>69.010000000000005</v>
      </c>
      <c r="H121" s="181">
        <v>66.55</v>
      </c>
      <c r="I121" s="181">
        <v>80</v>
      </c>
      <c r="J121" s="181">
        <v>69.17</v>
      </c>
      <c r="K121" s="182">
        <v>68.84</v>
      </c>
      <c r="L121" s="183">
        <v>3245500</v>
      </c>
      <c r="M121" s="184">
        <v>4511500</v>
      </c>
      <c r="N121" s="184">
        <v>100</v>
      </c>
      <c r="O121" s="184">
        <v>35</v>
      </c>
      <c r="P121" s="181">
        <v>4.3499999999999996</v>
      </c>
      <c r="Q121" s="184">
        <v>45115</v>
      </c>
      <c r="R121" s="184">
        <v>196152</v>
      </c>
      <c r="S121" s="184">
        <v>221088</v>
      </c>
      <c r="T121" s="184">
        <v>162275</v>
      </c>
      <c r="U121" s="184">
        <v>203212</v>
      </c>
      <c r="V121" s="182">
        <v>1.39</v>
      </c>
      <c r="W121" s="183">
        <v>23</v>
      </c>
      <c r="X121" s="185">
        <v>20</v>
      </c>
      <c r="Y121" s="183">
        <v>223971955</v>
      </c>
      <c r="Z121" s="179" t="s">
        <v>270</v>
      </c>
      <c r="AA121" s="183">
        <v>2001290</v>
      </c>
      <c r="AB121" s="184">
        <v>3450500</v>
      </c>
      <c r="AC121" s="184">
        <v>5486295</v>
      </c>
      <c r="AD121" s="184">
        <v>724605</v>
      </c>
      <c r="AE121" s="184">
        <v>3726540</v>
      </c>
      <c r="AF121" s="177" t="s">
        <v>200</v>
      </c>
      <c r="AG121" s="184">
        <v>1932280</v>
      </c>
      <c r="AH121" s="184">
        <v>1690745</v>
      </c>
      <c r="AI121" s="184">
        <v>7522090</v>
      </c>
      <c r="AJ121" s="184">
        <v>17148985</v>
      </c>
      <c r="AK121" s="184">
        <v>2691390</v>
      </c>
      <c r="AL121" s="184">
        <v>10178975</v>
      </c>
      <c r="AM121" s="184">
        <v>759110</v>
      </c>
      <c r="AN121" s="184">
        <v>2898420</v>
      </c>
      <c r="AO121" s="184">
        <v>828120</v>
      </c>
      <c r="AP121" s="184">
        <v>17217995</v>
      </c>
      <c r="AQ121" s="184">
        <v>34505</v>
      </c>
      <c r="AR121" s="184">
        <v>17148985</v>
      </c>
      <c r="AS121" s="184">
        <v>25257660</v>
      </c>
      <c r="AT121" s="184">
        <v>0</v>
      </c>
      <c r="AU121" s="184">
        <v>552080</v>
      </c>
      <c r="AV121" s="184">
        <v>0</v>
      </c>
      <c r="AW121" s="184">
        <v>414060</v>
      </c>
      <c r="AX121" s="184">
        <v>42924220</v>
      </c>
      <c r="AY121" s="184">
        <v>345050</v>
      </c>
      <c r="AZ121" s="184">
        <v>16838440</v>
      </c>
      <c r="BA121" s="184">
        <v>6072880</v>
      </c>
      <c r="BB121" s="184">
        <v>1311190</v>
      </c>
      <c r="BC121" s="177" t="s">
        <v>200</v>
      </c>
      <c r="BD121" s="184">
        <v>3588520</v>
      </c>
      <c r="BE121" s="184">
        <v>3070945</v>
      </c>
      <c r="BF121" s="184">
        <v>1207675</v>
      </c>
      <c r="BG121" s="184">
        <v>24291520</v>
      </c>
      <c r="BH121" s="184">
        <v>862625</v>
      </c>
      <c r="BI121" s="184">
        <v>1794260</v>
      </c>
      <c r="BJ121" s="187" t="s">
        <v>200</v>
      </c>
    </row>
    <row r="122" spans="2:62" x14ac:dyDescent="0.2">
      <c r="B122" s="175">
        <v>45838</v>
      </c>
      <c r="C122" s="176">
        <v>45838.458965543985</v>
      </c>
      <c r="D122" s="177" t="s">
        <v>267</v>
      </c>
      <c r="E122" s="178" t="s">
        <v>268</v>
      </c>
      <c r="F122" s="179" t="s">
        <v>269</v>
      </c>
      <c r="G122" s="180">
        <v>68.95</v>
      </c>
      <c r="H122" s="181">
        <v>66.989999999999995</v>
      </c>
      <c r="I122" s="181">
        <v>120</v>
      </c>
      <c r="J122" s="181">
        <v>69.98</v>
      </c>
      <c r="K122" s="182">
        <v>68.78</v>
      </c>
      <c r="L122" s="183">
        <v>3246500</v>
      </c>
      <c r="M122" s="184">
        <v>4986500</v>
      </c>
      <c r="N122" s="184">
        <v>100</v>
      </c>
      <c r="O122" s="184">
        <v>35</v>
      </c>
      <c r="P122" s="181">
        <v>4.17</v>
      </c>
      <c r="Q122" s="184">
        <v>49865</v>
      </c>
      <c r="R122" s="184">
        <v>207771</v>
      </c>
      <c r="S122" s="184">
        <v>246537</v>
      </c>
      <c r="T122" s="184">
        <v>180361</v>
      </c>
      <c r="U122" s="184">
        <v>232684</v>
      </c>
      <c r="V122" s="182">
        <v>1.54</v>
      </c>
      <c r="W122" s="183">
        <v>24</v>
      </c>
      <c r="X122" s="185">
        <v>18</v>
      </c>
      <c r="Y122" s="183">
        <v>223846175</v>
      </c>
      <c r="Z122" s="179" t="s">
        <v>270</v>
      </c>
      <c r="AA122" s="183">
        <v>1999550</v>
      </c>
      <c r="AB122" s="184">
        <v>3447500</v>
      </c>
      <c r="AC122" s="184">
        <v>5481525</v>
      </c>
      <c r="AD122" s="184">
        <v>723975</v>
      </c>
      <c r="AE122" s="184">
        <v>3723300</v>
      </c>
      <c r="AF122" s="177" t="s">
        <v>200</v>
      </c>
      <c r="AG122" s="184">
        <v>1930600</v>
      </c>
      <c r="AH122" s="184">
        <v>1689275</v>
      </c>
      <c r="AI122" s="184">
        <v>7515550</v>
      </c>
      <c r="AJ122" s="184">
        <v>17134075</v>
      </c>
      <c r="AK122" s="184">
        <v>2689050</v>
      </c>
      <c r="AL122" s="184">
        <v>10170125</v>
      </c>
      <c r="AM122" s="184">
        <v>758450</v>
      </c>
      <c r="AN122" s="184">
        <v>2895900</v>
      </c>
      <c r="AO122" s="184">
        <v>827400</v>
      </c>
      <c r="AP122" s="184">
        <v>17203025</v>
      </c>
      <c r="AQ122" s="184">
        <v>34475</v>
      </c>
      <c r="AR122" s="184">
        <v>17134075</v>
      </c>
      <c r="AS122" s="184">
        <v>25235700</v>
      </c>
      <c r="AT122" s="184">
        <v>68950</v>
      </c>
      <c r="AU122" s="184">
        <v>551600</v>
      </c>
      <c r="AV122" s="184">
        <v>0</v>
      </c>
      <c r="AW122" s="184">
        <v>413700</v>
      </c>
      <c r="AX122" s="184">
        <v>42886900</v>
      </c>
      <c r="AY122" s="184">
        <v>344750</v>
      </c>
      <c r="AZ122" s="184">
        <v>16823800</v>
      </c>
      <c r="BA122" s="184">
        <v>6067600</v>
      </c>
      <c r="BB122" s="184">
        <v>1310050</v>
      </c>
      <c r="BC122" s="177" t="s">
        <v>200</v>
      </c>
      <c r="BD122" s="184">
        <v>3585400</v>
      </c>
      <c r="BE122" s="184">
        <v>3068275</v>
      </c>
      <c r="BF122" s="184">
        <v>1206625</v>
      </c>
      <c r="BG122" s="184">
        <v>24270400</v>
      </c>
      <c r="BH122" s="184">
        <v>861875</v>
      </c>
      <c r="BI122" s="184">
        <v>1792700</v>
      </c>
      <c r="BJ122" s="187" t="s">
        <v>200</v>
      </c>
    </row>
    <row r="123" spans="2:62" x14ac:dyDescent="0.2">
      <c r="B123" s="175">
        <v>45835</v>
      </c>
      <c r="C123" s="176">
        <v>45835.458565104163</v>
      </c>
      <c r="D123" s="177" t="s">
        <v>271</v>
      </c>
      <c r="E123" s="178" t="s">
        <v>268</v>
      </c>
      <c r="F123" s="179" t="s">
        <v>269</v>
      </c>
      <c r="G123" s="180">
        <v>69.400000000000006</v>
      </c>
      <c r="H123" s="181">
        <v>66.989999999999995</v>
      </c>
      <c r="I123" s="181">
        <v>73</v>
      </c>
      <c r="J123" s="181">
        <v>69.459999999999994</v>
      </c>
      <c r="K123" s="182">
        <v>69.400000000000006</v>
      </c>
      <c r="L123" s="183">
        <v>1607000</v>
      </c>
      <c r="M123" s="184">
        <v>2374000</v>
      </c>
      <c r="N123" s="184">
        <v>73</v>
      </c>
      <c r="O123" s="184">
        <v>37</v>
      </c>
      <c r="P123" s="181">
        <v>4.0599999999999996</v>
      </c>
      <c r="Q123" s="184">
        <v>32521</v>
      </c>
      <c r="R123" s="184">
        <v>131889</v>
      </c>
      <c r="S123" s="184">
        <v>179593</v>
      </c>
      <c r="T123" s="184">
        <v>114786</v>
      </c>
      <c r="U123" s="184">
        <v>186736</v>
      </c>
      <c r="V123" s="182">
        <v>1.48</v>
      </c>
      <c r="W123" s="183">
        <v>18</v>
      </c>
      <c r="X123" s="185">
        <v>14</v>
      </c>
      <c r="Y123" s="183">
        <v>111525800</v>
      </c>
      <c r="Z123" s="179" t="s">
        <v>272</v>
      </c>
      <c r="AA123" s="186" t="s">
        <v>200</v>
      </c>
      <c r="AB123" s="177" t="s">
        <v>200</v>
      </c>
      <c r="AC123" s="177" t="s">
        <v>200</v>
      </c>
      <c r="AD123" s="177" t="s">
        <v>200</v>
      </c>
      <c r="AE123" s="177" t="s">
        <v>200</v>
      </c>
      <c r="AF123" s="184">
        <v>111525800</v>
      </c>
      <c r="AG123" s="177" t="s">
        <v>200</v>
      </c>
      <c r="AH123" s="177" t="s">
        <v>200</v>
      </c>
      <c r="AI123" s="177" t="s">
        <v>200</v>
      </c>
      <c r="AJ123" s="177" t="s">
        <v>200</v>
      </c>
      <c r="AK123" s="177" t="s">
        <v>200</v>
      </c>
      <c r="AL123" s="177" t="s">
        <v>200</v>
      </c>
      <c r="AM123" s="177" t="s">
        <v>200</v>
      </c>
      <c r="AN123" s="177" t="s">
        <v>200</v>
      </c>
      <c r="AO123" s="177" t="s">
        <v>200</v>
      </c>
      <c r="AP123" s="177" t="s">
        <v>200</v>
      </c>
      <c r="AQ123" s="177" t="s">
        <v>200</v>
      </c>
      <c r="AR123" s="177" t="s">
        <v>200</v>
      </c>
      <c r="AS123" s="177" t="s">
        <v>200</v>
      </c>
      <c r="AT123" s="177" t="s">
        <v>200</v>
      </c>
      <c r="AU123" s="177" t="s">
        <v>200</v>
      </c>
      <c r="AV123" s="177" t="s">
        <v>200</v>
      </c>
      <c r="AW123" s="177" t="s">
        <v>200</v>
      </c>
      <c r="AX123" s="177" t="s">
        <v>200</v>
      </c>
      <c r="AY123" s="177" t="s">
        <v>200</v>
      </c>
      <c r="AZ123" s="177" t="s">
        <v>200</v>
      </c>
      <c r="BA123" s="177" t="s">
        <v>200</v>
      </c>
      <c r="BB123" s="177" t="s">
        <v>200</v>
      </c>
      <c r="BC123" s="177" t="s">
        <v>200</v>
      </c>
      <c r="BD123" s="177" t="s">
        <v>200</v>
      </c>
      <c r="BE123" s="177" t="s">
        <v>200</v>
      </c>
      <c r="BF123" s="177" t="s">
        <v>200</v>
      </c>
      <c r="BG123" s="177" t="s">
        <v>200</v>
      </c>
      <c r="BH123" s="177" t="s">
        <v>200</v>
      </c>
      <c r="BI123" s="177" t="s">
        <v>200</v>
      </c>
      <c r="BJ123" s="187" t="s">
        <v>200</v>
      </c>
    </row>
    <row r="124" spans="2:62" x14ac:dyDescent="0.2">
      <c r="B124" s="175">
        <v>45834</v>
      </c>
      <c r="C124" s="176">
        <v>45834.458601817132</v>
      </c>
      <c r="D124" s="177" t="s">
        <v>267</v>
      </c>
      <c r="E124" s="178" t="s">
        <v>268</v>
      </c>
      <c r="F124" s="179" t="s">
        <v>269</v>
      </c>
      <c r="G124" s="180">
        <v>69.459999999999994</v>
      </c>
      <c r="H124" s="181">
        <v>68.349999999999994</v>
      </c>
      <c r="I124" s="181">
        <v>80.83</v>
      </c>
      <c r="J124" s="181">
        <v>69.92</v>
      </c>
      <c r="K124" s="182">
        <v>69.459999999999994</v>
      </c>
      <c r="L124" s="183">
        <v>3245500</v>
      </c>
      <c r="M124" s="184">
        <v>4845500</v>
      </c>
      <c r="N124" s="184">
        <v>105</v>
      </c>
      <c r="O124" s="184">
        <v>54</v>
      </c>
      <c r="P124" s="181">
        <v>3.89</v>
      </c>
      <c r="Q124" s="184">
        <v>46148</v>
      </c>
      <c r="R124" s="184">
        <v>179463</v>
      </c>
      <c r="S124" s="184">
        <v>250424</v>
      </c>
      <c r="T124" s="184">
        <v>135229</v>
      </c>
      <c r="U124" s="184">
        <v>205018</v>
      </c>
      <c r="V124" s="182">
        <v>1.49</v>
      </c>
      <c r="W124" s="183">
        <v>27</v>
      </c>
      <c r="X124" s="185">
        <v>24</v>
      </c>
      <c r="Y124" s="183">
        <v>225432430</v>
      </c>
      <c r="Z124" s="179" t="s">
        <v>270</v>
      </c>
      <c r="AA124" s="183">
        <v>2014340</v>
      </c>
      <c r="AB124" s="184">
        <v>3473000</v>
      </c>
      <c r="AC124" s="184">
        <v>5522070</v>
      </c>
      <c r="AD124" s="184">
        <v>729330</v>
      </c>
      <c r="AE124" s="184">
        <v>3750840</v>
      </c>
      <c r="AF124" s="177" t="s">
        <v>200</v>
      </c>
      <c r="AG124" s="184">
        <v>1944880</v>
      </c>
      <c r="AH124" s="184">
        <v>1701770</v>
      </c>
      <c r="AI124" s="184">
        <v>7571140</v>
      </c>
      <c r="AJ124" s="184">
        <v>17260810</v>
      </c>
      <c r="AK124" s="184">
        <v>2708940</v>
      </c>
      <c r="AL124" s="184">
        <v>10245350</v>
      </c>
      <c r="AM124" s="184">
        <v>764060</v>
      </c>
      <c r="AN124" s="184">
        <v>2917320</v>
      </c>
      <c r="AO124" s="184">
        <v>833520</v>
      </c>
      <c r="AP124" s="184">
        <v>17330270</v>
      </c>
      <c r="AQ124" s="184">
        <v>34730</v>
      </c>
      <c r="AR124" s="184">
        <v>17260810</v>
      </c>
      <c r="AS124" s="184">
        <v>25422360</v>
      </c>
      <c r="AT124" s="184">
        <v>0</v>
      </c>
      <c r="AU124" s="184">
        <v>555680</v>
      </c>
      <c r="AV124" s="184">
        <v>0</v>
      </c>
      <c r="AW124" s="184">
        <v>416760</v>
      </c>
      <c r="AX124" s="184">
        <v>43204120</v>
      </c>
      <c r="AY124" s="184">
        <v>347300</v>
      </c>
      <c r="AZ124" s="184">
        <v>16948240</v>
      </c>
      <c r="BA124" s="184">
        <v>6112480</v>
      </c>
      <c r="BB124" s="184">
        <v>1319740</v>
      </c>
      <c r="BC124" s="177" t="s">
        <v>200</v>
      </c>
      <c r="BD124" s="184">
        <v>3611920</v>
      </c>
      <c r="BE124" s="184">
        <v>3090970</v>
      </c>
      <c r="BF124" s="184">
        <v>1215550</v>
      </c>
      <c r="BG124" s="184">
        <v>24449920</v>
      </c>
      <c r="BH124" s="184">
        <v>868250</v>
      </c>
      <c r="BI124" s="184">
        <v>1805960</v>
      </c>
      <c r="BJ124" s="187" t="s">
        <v>200</v>
      </c>
    </row>
    <row r="125" spans="2:62" x14ac:dyDescent="0.2">
      <c r="B125" s="175">
        <v>45833</v>
      </c>
      <c r="C125" s="176">
        <v>45833.458705081015</v>
      </c>
      <c r="D125" s="177" t="s">
        <v>273</v>
      </c>
      <c r="E125" s="178" t="s">
        <v>268</v>
      </c>
      <c r="F125" s="179" t="s">
        <v>269</v>
      </c>
      <c r="G125" s="180">
        <v>71.72</v>
      </c>
      <c r="H125" s="181">
        <v>69.989999999999995</v>
      </c>
      <c r="I125" s="181">
        <v>120</v>
      </c>
      <c r="J125" s="181">
        <v>72.64</v>
      </c>
      <c r="K125" s="182">
        <v>71.64</v>
      </c>
      <c r="L125" s="183">
        <v>2072500</v>
      </c>
      <c r="M125" s="184">
        <v>3569500</v>
      </c>
      <c r="N125" s="184">
        <v>82</v>
      </c>
      <c r="O125" s="184">
        <v>31</v>
      </c>
      <c r="P125" s="181">
        <v>3.42</v>
      </c>
      <c r="Q125" s="184">
        <v>43530</v>
      </c>
      <c r="R125" s="184">
        <v>148729</v>
      </c>
      <c r="S125" s="184">
        <v>156704</v>
      </c>
      <c r="T125" s="184">
        <v>129531</v>
      </c>
      <c r="U125" s="184">
        <v>145340</v>
      </c>
      <c r="V125" s="182">
        <v>1.72</v>
      </c>
      <c r="W125" s="183">
        <v>24</v>
      </c>
      <c r="X125" s="185">
        <v>16</v>
      </c>
      <c r="Y125" s="183">
        <v>148639700</v>
      </c>
      <c r="Z125" s="179" t="s">
        <v>274</v>
      </c>
      <c r="AA125" s="186" t="s">
        <v>200</v>
      </c>
      <c r="AB125" s="177" t="s">
        <v>200</v>
      </c>
      <c r="AC125" s="177" t="s">
        <v>200</v>
      </c>
      <c r="AD125" s="177" t="s">
        <v>200</v>
      </c>
      <c r="AE125" s="177" t="s">
        <v>200</v>
      </c>
      <c r="AF125" s="177" t="s">
        <v>200</v>
      </c>
      <c r="AG125" s="177" t="s">
        <v>200</v>
      </c>
      <c r="AH125" s="177" t="s">
        <v>200</v>
      </c>
      <c r="AI125" s="177" t="s">
        <v>200</v>
      </c>
      <c r="AJ125" s="177" t="s">
        <v>200</v>
      </c>
      <c r="AK125" s="177" t="s">
        <v>200</v>
      </c>
      <c r="AL125" s="177" t="s">
        <v>200</v>
      </c>
      <c r="AM125" s="177" t="s">
        <v>200</v>
      </c>
      <c r="AN125" s="177" t="s">
        <v>200</v>
      </c>
      <c r="AO125" s="177" t="s">
        <v>200</v>
      </c>
      <c r="AP125" s="177" t="s">
        <v>200</v>
      </c>
      <c r="AQ125" s="177" t="s">
        <v>200</v>
      </c>
      <c r="AR125" s="177" t="s">
        <v>200</v>
      </c>
      <c r="AS125" s="177" t="s">
        <v>200</v>
      </c>
      <c r="AT125" s="177" t="s">
        <v>200</v>
      </c>
      <c r="AU125" s="177" t="s">
        <v>200</v>
      </c>
      <c r="AV125" s="177" t="s">
        <v>200</v>
      </c>
      <c r="AW125" s="177" t="s">
        <v>200</v>
      </c>
      <c r="AX125" s="177" t="s">
        <v>200</v>
      </c>
      <c r="AY125" s="177" t="s">
        <v>200</v>
      </c>
      <c r="AZ125" s="177" t="s">
        <v>200</v>
      </c>
      <c r="BA125" s="177" t="s">
        <v>200</v>
      </c>
      <c r="BB125" s="177" t="s">
        <v>200</v>
      </c>
      <c r="BC125" s="184">
        <v>148639700</v>
      </c>
      <c r="BD125" s="177" t="s">
        <v>200</v>
      </c>
      <c r="BE125" s="177" t="s">
        <v>200</v>
      </c>
      <c r="BF125" s="177" t="s">
        <v>200</v>
      </c>
      <c r="BG125" s="177" t="s">
        <v>200</v>
      </c>
      <c r="BH125" s="177" t="s">
        <v>200</v>
      </c>
      <c r="BI125" s="177" t="s">
        <v>200</v>
      </c>
      <c r="BJ125" s="187" t="s">
        <v>200</v>
      </c>
    </row>
    <row r="126" spans="2:62" x14ac:dyDescent="0.2">
      <c r="B126" s="175">
        <v>45832</v>
      </c>
      <c r="C126" s="176">
        <v>45832.458541516207</v>
      </c>
      <c r="D126" s="177" t="s">
        <v>267</v>
      </c>
      <c r="E126" s="178" t="s">
        <v>268</v>
      </c>
      <c r="F126" s="179" t="s">
        <v>269</v>
      </c>
      <c r="G126" s="180">
        <v>72.91</v>
      </c>
      <c r="H126" s="181">
        <v>69</v>
      </c>
      <c r="I126" s="181">
        <v>85</v>
      </c>
      <c r="J126" s="181">
        <v>73.27</v>
      </c>
      <c r="K126" s="182">
        <v>72.84</v>
      </c>
      <c r="L126" s="183">
        <v>3245500</v>
      </c>
      <c r="M126" s="184">
        <v>4283000</v>
      </c>
      <c r="N126" s="184">
        <v>91</v>
      </c>
      <c r="O126" s="184">
        <v>36</v>
      </c>
      <c r="P126" s="181">
        <v>3.64</v>
      </c>
      <c r="Q126" s="184">
        <v>47066</v>
      </c>
      <c r="R126" s="184">
        <v>171320</v>
      </c>
      <c r="S126" s="184">
        <v>220039</v>
      </c>
      <c r="T126" s="184">
        <v>162275</v>
      </c>
      <c r="U126" s="184">
        <v>212947</v>
      </c>
      <c r="V126" s="182">
        <v>1.32</v>
      </c>
      <c r="W126" s="183">
        <v>25</v>
      </c>
      <c r="X126" s="185">
        <v>20</v>
      </c>
      <c r="Y126" s="183">
        <v>236629405</v>
      </c>
      <c r="Z126" s="179" t="s">
        <v>270</v>
      </c>
      <c r="AA126" s="183">
        <v>2114390</v>
      </c>
      <c r="AB126" s="184">
        <v>3645500</v>
      </c>
      <c r="AC126" s="184">
        <v>5796345</v>
      </c>
      <c r="AD126" s="184">
        <v>765555</v>
      </c>
      <c r="AE126" s="184">
        <v>3937140</v>
      </c>
      <c r="AF126" s="177" t="s">
        <v>200</v>
      </c>
      <c r="AG126" s="184">
        <v>2041480</v>
      </c>
      <c r="AH126" s="184">
        <v>1786295</v>
      </c>
      <c r="AI126" s="184">
        <v>7947190</v>
      </c>
      <c r="AJ126" s="184">
        <v>18118135</v>
      </c>
      <c r="AK126" s="184">
        <v>2843490</v>
      </c>
      <c r="AL126" s="184">
        <v>10754225</v>
      </c>
      <c r="AM126" s="184">
        <v>802010</v>
      </c>
      <c r="AN126" s="184">
        <v>3062220</v>
      </c>
      <c r="AO126" s="184">
        <v>874920</v>
      </c>
      <c r="AP126" s="184">
        <v>18191045</v>
      </c>
      <c r="AQ126" s="184">
        <v>36455</v>
      </c>
      <c r="AR126" s="184">
        <v>18118135</v>
      </c>
      <c r="AS126" s="184">
        <v>26685060</v>
      </c>
      <c r="AT126" s="184">
        <v>0</v>
      </c>
      <c r="AU126" s="184">
        <v>583280</v>
      </c>
      <c r="AV126" s="184">
        <v>0</v>
      </c>
      <c r="AW126" s="184">
        <v>437460</v>
      </c>
      <c r="AX126" s="184">
        <v>45350020</v>
      </c>
      <c r="AY126" s="184">
        <v>364550</v>
      </c>
      <c r="AZ126" s="184">
        <v>17790040</v>
      </c>
      <c r="BA126" s="184">
        <v>6416080</v>
      </c>
      <c r="BB126" s="184">
        <v>1385290</v>
      </c>
      <c r="BC126" s="177" t="s">
        <v>200</v>
      </c>
      <c r="BD126" s="184">
        <v>3791320</v>
      </c>
      <c r="BE126" s="184">
        <v>3244495</v>
      </c>
      <c r="BF126" s="184">
        <v>1275925</v>
      </c>
      <c r="BG126" s="184">
        <v>25664320</v>
      </c>
      <c r="BH126" s="184">
        <v>911375</v>
      </c>
      <c r="BI126" s="184">
        <v>1895660</v>
      </c>
      <c r="BJ126" s="187" t="s">
        <v>200</v>
      </c>
    </row>
    <row r="127" spans="2:62" x14ac:dyDescent="0.2">
      <c r="B127" s="175">
        <v>45831</v>
      </c>
      <c r="C127" s="176">
        <v>45831.458753275459</v>
      </c>
      <c r="D127" s="177" t="s">
        <v>267</v>
      </c>
      <c r="E127" s="178" t="s">
        <v>268</v>
      </c>
      <c r="F127" s="179" t="s">
        <v>269</v>
      </c>
      <c r="G127" s="180">
        <v>72</v>
      </c>
      <c r="H127" s="181">
        <v>69</v>
      </c>
      <c r="I127" s="181">
        <v>85</v>
      </c>
      <c r="J127" s="181">
        <v>71.97</v>
      </c>
      <c r="K127" s="182">
        <v>71.77</v>
      </c>
      <c r="L127" s="183">
        <v>3245500</v>
      </c>
      <c r="M127" s="184">
        <v>4650500</v>
      </c>
      <c r="N127" s="184">
        <v>102</v>
      </c>
      <c r="O127" s="184">
        <v>30</v>
      </c>
      <c r="P127" s="181">
        <v>3.92</v>
      </c>
      <c r="Q127" s="184">
        <v>45593</v>
      </c>
      <c r="R127" s="184">
        <v>178865</v>
      </c>
      <c r="S127" s="184">
        <v>242153</v>
      </c>
      <c r="T127" s="184">
        <v>180306</v>
      </c>
      <c r="U127" s="184">
        <v>246810</v>
      </c>
      <c r="V127" s="182">
        <v>1.43</v>
      </c>
      <c r="W127" s="183">
        <v>26</v>
      </c>
      <c r="X127" s="185">
        <v>18</v>
      </c>
      <c r="Y127" s="183">
        <v>233676000</v>
      </c>
      <c r="Z127" s="179" t="s">
        <v>270</v>
      </c>
      <c r="AA127" s="183">
        <v>2088000</v>
      </c>
      <c r="AB127" s="184">
        <v>3600000</v>
      </c>
      <c r="AC127" s="184">
        <v>5724000</v>
      </c>
      <c r="AD127" s="184">
        <v>756000</v>
      </c>
      <c r="AE127" s="184">
        <v>3888000</v>
      </c>
      <c r="AF127" s="177" t="s">
        <v>200</v>
      </c>
      <c r="AG127" s="184">
        <v>2016000</v>
      </c>
      <c r="AH127" s="184">
        <v>1764000</v>
      </c>
      <c r="AI127" s="184">
        <v>7848000</v>
      </c>
      <c r="AJ127" s="184">
        <v>17892000</v>
      </c>
      <c r="AK127" s="184">
        <v>2808000</v>
      </c>
      <c r="AL127" s="184">
        <v>10620000</v>
      </c>
      <c r="AM127" s="184">
        <v>792000</v>
      </c>
      <c r="AN127" s="184">
        <v>3024000</v>
      </c>
      <c r="AO127" s="184">
        <v>864000</v>
      </c>
      <c r="AP127" s="184">
        <v>17964000</v>
      </c>
      <c r="AQ127" s="184">
        <v>36000</v>
      </c>
      <c r="AR127" s="184">
        <v>17892000</v>
      </c>
      <c r="AS127" s="184">
        <v>26352000</v>
      </c>
      <c r="AT127" s="184">
        <v>0</v>
      </c>
      <c r="AU127" s="184">
        <v>576000</v>
      </c>
      <c r="AV127" s="184">
        <v>0</v>
      </c>
      <c r="AW127" s="184">
        <v>432000</v>
      </c>
      <c r="AX127" s="184">
        <v>44784000</v>
      </c>
      <c r="AY127" s="184">
        <v>360000</v>
      </c>
      <c r="AZ127" s="184">
        <v>17568000</v>
      </c>
      <c r="BA127" s="184">
        <v>6336000</v>
      </c>
      <c r="BB127" s="184">
        <v>1368000</v>
      </c>
      <c r="BC127" s="177" t="s">
        <v>200</v>
      </c>
      <c r="BD127" s="184">
        <v>3744000</v>
      </c>
      <c r="BE127" s="184">
        <v>3204000</v>
      </c>
      <c r="BF127" s="184">
        <v>1260000</v>
      </c>
      <c r="BG127" s="184">
        <v>25344000</v>
      </c>
      <c r="BH127" s="184">
        <v>900000</v>
      </c>
      <c r="BI127" s="184">
        <v>1872000</v>
      </c>
      <c r="BJ127" s="187" t="s">
        <v>200</v>
      </c>
    </row>
    <row r="128" spans="2:62" x14ac:dyDescent="0.2">
      <c r="B128" s="175">
        <v>45828</v>
      </c>
      <c r="C128" s="176">
        <v>45828.458709664352</v>
      </c>
      <c r="D128" s="177" t="s">
        <v>271</v>
      </c>
      <c r="E128" s="178" t="s">
        <v>268</v>
      </c>
      <c r="F128" s="179" t="s">
        <v>269</v>
      </c>
      <c r="G128" s="180">
        <v>71.97</v>
      </c>
      <c r="H128" s="181">
        <v>68.989999999999995</v>
      </c>
      <c r="I128" s="181">
        <v>85</v>
      </c>
      <c r="J128" s="181">
        <v>71.84</v>
      </c>
      <c r="K128" s="182">
        <v>71.61</v>
      </c>
      <c r="L128" s="183">
        <v>1607000</v>
      </c>
      <c r="M128" s="184">
        <v>3810500</v>
      </c>
      <c r="N128" s="184">
        <v>104</v>
      </c>
      <c r="O128" s="184">
        <v>26</v>
      </c>
      <c r="P128" s="181">
        <v>4.5199999999999996</v>
      </c>
      <c r="Q128" s="184">
        <v>36639</v>
      </c>
      <c r="R128" s="184">
        <v>165674</v>
      </c>
      <c r="S128" s="184">
        <v>177437</v>
      </c>
      <c r="T128" s="184">
        <v>114786</v>
      </c>
      <c r="U128" s="184">
        <v>143630</v>
      </c>
      <c r="V128" s="182">
        <v>2.37</v>
      </c>
      <c r="W128" s="183">
        <v>23</v>
      </c>
      <c r="X128" s="185">
        <v>14</v>
      </c>
      <c r="Y128" s="183">
        <v>115655790</v>
      </c>
      <c r="Z128" s="179" t="s">
        <v>272</v>
      </c>
      <c r="AA128" s="186" t="s">
        <v>200</v>
      </c>
      <c r="AB128" s="177" t="s">
        <v>200</v>
      </c>
      <c r="AC128" s="177" t="s">
        <v>200</v>
      </c>
      <c r="AD128" s="177" t="s">
        <v>200</v>
      </c>
      <c r="AE128" s="177" t="s">
        <v>200</v>
      </c>
      <c r="AF128" s="184">
        <v>115655790</v>
      </c>
      <c r="AG128" s="177" t="s">
        <v>200</v>
      </c>
      <c r="AH128" s="177" t="s">
        <v>200</v>
      </c>
      <c r="AI128" s="177" t="s">
        <v>200</v>
      </c>
      <c r="AJ128" s="177" t="s">
        <v>200</v>
      </c>
      <c r="AK128" s="177" t="s">
        <v>200</v>
      </c>
      <c r="AL128" s="177" t="s">
        <v>200</v>
      </c>
      <c r="AM128" s="177" t="s">
        <v>200</v>
      </c>
      <c r="AN128" s="177" t="s">
        <v>200</v>
      </c>
      <c r="AO128" s="177" t="s">
        <v>200</v>
      </c>
      <c r="AP128" s="177" t="s">
        <v>200</v>
      </c>
      <c r="AQ128" s="177" t="s">
        <v>200</v>
      </c>
      <c r="AR128" s="177" t="s">
        <v>200</v>
      </c>
      <c r="AS128" s="177" t="s">
        <v>200</v>
      </c>
      <c r="AT128" s="177" t="s">
        <v>200</v>
      </c>
      <c r="AU128" s="177" t="s">
        <v>200</v>
      </c>
      <c r="AV128" s="177" t="s">
        <v>200</v>
      </c>
      <c r="AW128" s="177" t="s">
        <v>200</v>
      </c>
      <c r="AX128" s="177" t="s">
        <v>200</v>
      </c>
      <c r="AY128" s="177" t="s">
        <v>200</v>
      </c>
      <c r="AZ128" s="177" t="s">
        <v>200</v>
      </c>
      <c r="BA128" s="177" t="s">
        <v>200</v>
      </c>
      <c r="BB128" s="177" t="s">
        <v>200</v>
      </c>
      <c r="BC128" s="177" t="s">
        <v>200</v>
      </c>
      <c r="BD128" s="177" t="s">
        <v>200</v>
      </c>
      <c r="BE128" s="177" t="s">
        <v>200</v>
      </c>
      <c r="BF128" s="177" t="s">
        <v>200</v>
      </c>
      <c r="BG128" s="177" t="s">
        <v>200</v>
      </c>
      <c r="BH128" s="177" t="s">
        <v>200</v>
      </c>
      <c r="BI128" s="177" t="s">
        <v>200</v>
      </c>
      <c r="BJ128" s="187" t="s">
        <v>200</v>
      </c>
    </row>
    <row r="129" spans="2:62" x14ac:dyDescent="0.2">
      <c r="B129" s="175">
        <v>45827</v>
      </c>
      <c r="C129" s="176">
        <v>45827.458700243056</v>
      </c>
      <c r="D129" s="177" t="s">
        <v>267</v>
      </c>
      <c r="E129" s="178" t="s">
        <v>268</v>
      </c>
      <c r="F129" s="179" t="s">
        <v>269</v>
      </c>
      <c r="G129" s="180">
        <v>73.48</v>
      </c>
      <c r="H129" s="181">
        <v>68</v>
      </c>
      <c r="I129" s="181">
        <v>85</v>
      </c>
      <c r="J129" s="181">
        <v>73.48</v>
      </c>
      <c r="K129" s="182">
        <v>73.239999999999995</v>
      </c>
      <c r="L129" s="183">
        <v>3245500</v>
      </c>
      <c r="M129" s="184">
        <v>4509500</v>
      </c>
      <c r="N129" s="184">
        <v>88</v>
      </c>
      <c r="O129" s="184">
        <v>27</v>
      </c>
      <c r="P129" s="181">
        <v>4.1900000000000004</v>
      </c>
      <c r="Q129" s="184">
        <v>51244</v>
      </c>
      <c r="R129" s="184">
        <v>214738</v>
      </c>
      <c r="S129" s="184">
        <v>200551</v>
      </c>
      <c r="T129" s="184">
        <v>190912</v>
      </c>
      <c r="U129" s="184">
        <v>202002</v>
      </c>
      <c r="V129" s="182">
        <v>1.39</v>
      </c>
      <c r="W129" s="183">
        <v>21</v>
      </c>
      <c r="X129" s="185">
        <v>17</v>
      </c>
      <c r="Y129" s="183">
        <v>238479340</v>
      </c>
      <c r="Z129" s="179" t="s">
        <v>270</v>
      </c>
      <c r="AA129" s="183">
        <v>2130920</v>
      </c>
      <c r="AB129" s="184">
        <v>3674000</v>
      </c>
      <c r="AC129" s="184">
        <v>5841660</v>
      </c>
      <c r="AD129" s="184">
        <v>771540</v>
      </c>
      <c r="AE129" s="184">
        <v>3967920</v>
      </c>
      <c r="AF129" s="177" t="s">
        <v>200</v>
      </c>
      <c r="AG129" s="184">
        <v>2057440</v>
      </c>
      <c r="AH129" s="184">
        <v>1800260</v>
      </c>
      <c r="AI129" s="184">
        <v>8009320</v>
      </c>
      <c r="AJ129" s="184">
        <v>18259780</v>
      </c>
      <c r="AK129" s="184">
        <v>2865720</v>
      </c>
      <c r="AL129" s="184">
        <v>10838300</v>
      </c>
      <c r="AM129" s="184">
        <v>808280</v>
      </c>
      <c r="AN129" s="184">
        <v>3086160</v>
      </c>
      <c r="AO129" s="184">
        <v>881760</v>
      </c>
      <c r="AP129" s="184">
        <v>18333260</v>
      </c>
      <c r="AQ129" s="184">
        <v>36740</v>
      </c>
      <c r="AR129" s="184">
        <v>18259780</v>
      </c>
      <c r="AS129" s="184">
        <v>26893680</v>
      </c>
      <c r="AT129" s="184">
        <v>0</v>
      </c>
      <c r="AU129" s="184">
        <v>587840</v>
      </c>
      <c r="AV129" s="184">
        <v>0</v>
      </c>
      <c r="AW129" s="184">
        <v>440880</v>
      </c>
      <c r="AX129" s="184">
        <v>45704560</v>
      </c>
      <c r="AY129" s="184">
        <v>367400</v>
      </c>
      <c r="AZ129" s="184">
        <v>17929120</v>
      </c>
      <c r="BA129" s="184">
        <v>6466240</v>
      </c>
      <c r="BB129" s="184">
        <v>1396120</v>
      </c>
      <c r="BC129" s="177" t="s">
        <v>200</v>
      </c>
      <c r="BD129" s="184">
        <v>3820960</v>
      </c>
      <c r="BE129" s="184">
        <v>3269860</v>
      </c>
      <c r="BF129" s="184">
        <v>1285900</v>
      </c>
      <c r="BG129" s="184">
        <v>25864960</v>
      </c>
      <c r="BH129" s="184">
        <v>918500</v>
      </c>
      <c r="BI129" s="184">
        <v>1910480</v>
      </c>
      <c r="BJ129" s="187" t="s">
        <v>200</v>
      </c>
    </row>
    <row r="130" spans="2:62" x14ac:dyDescent="0.2">
      <c r="B130" s="175">
        <v>45825</v>
      </c>
      <c r="C130" s="176">
        <v>45825.459026006945</v>
      </c>
      <c r="D130" s="177" t="s">
        <v>267</v>
      </c>
      <c r="E130" s="178" t="s">
        <v>268</v>
      </c>
      <c r="F130" s="179" t="s">
        <v>269</v>
      </c>
      <c r="G130" s="180">
        <v>74.05</v>
      </c>
      <c r="H130" s="181">
        <v>64</v>
      </c>
      <c r="I130" s="181">
        <v>85</v>
      </c>
      <c r="J130" s="181">
        <v>74.06</v>
      </c>
      <c r="K130" s="182">
        <v>73.91</v>
      </c>
      <c r="L130" s="183">
        <v>3245500</v>
      </c>
      <c r="M130" s="184">
        <v>5235500</v>
      </c>
      <c r="N130" s="184">
        <v>109</v>
      </c>
      <c r="O130" s="184">
        <v>41</v>
      </c>
      <c r="P130" s="181">
        <v>4.04</v>
      </c>
      <c r="Q130" s="184">
        <v>48032</v>
      </c>
      <c r="R130" s="184">
        <v>193907</v>
      </c>
      <c r="S130" s="184">
        <v>253008</v>
      </c>
      <c r="T130" s="184">
        <v>141109</v>
      </c>
      <c r="U130" s="184">
        <v>228957</v>
      </c>
      <c r="V130" s="182">
        <v>1.61</v>
      </c>
      <c r="W130" s="183">
        <v>27</v>
      </c>
      <c r="X130" s="185">
        <v>23</v>
      </c>
      <c r="Y130" s="183">
        <v>240329275</v>
      </c>
      <c r="Z130" s="179" t="s">
        <v>270</v>
      </c>
      <c r="AA130" s="183">
        <v>2147450</v>
      </c>
      <c r="AB130" s="184">
        <v>3702500</v>
      </c>
      <c r="AC130" s="184">
        <v>5886975</v>
      </c>
      <c r="AD130" s="184">
        <v>777525</v>
      </c>
      <c r="AE130" s="184">
        <v>3998700</v>
      </c>
      <c r="AF130" s="177" t="s">
        <v>200</v>
      </c>
      <c r="AG130" s="184">
        <v>2073400</v>
      </c>
      <c r="AH130" s="184">
        <v>1814225</v>
      </c>
      <c r="AI130" s="184">
        <v>8071450</v>
      </c>
      <c r="AJ130" s="184">
        <v>18401425</v>
      </c>
      <c r="AK130" s="184">
        <v>2887950</v>
      </c>
      <c r="AL130" s="184">
        <v>10922375</v>
      </c>
      <c r="AM130" s="184">
        <v>814550</v>
      </c>
      <c r="AN130" s="184">
        <v>3110100</v>
      </c>
      <c r="AO130" s="184">
        <v>888600</v>
      </c>
      <c r="AP130" s="184">
        <v>18475475</v>
      </c>
      <c r="AQ130" s="184">
        <v>37025</v>
      </c>
      <c r="AR130" s="184">
        <v>18401425</v>
      </c>
      <c r="AS130" s="184">
        <v>27102300</v>
      </c>
      <c r="AT130" s="184">
        <v>0</v>
      </c>
      <c r="AU130" s="184">
        <v>592400</v>
      </c>
      <c r="AV130" s="184">
        <v>0</v>
      </c>
      <c r="AW130" s="184">
        <v>444300</v>
      </c>
      <c r="AX130" s="184">
        <v>46059100</v>
      </c>
      <c r="AY130" s="184">
        <v>370250</v>
      </c>
      <c r="AZ130" s="184">
        <v>18068200</v>
      </c>
      <c r="BA130" s="184">
        <v>6516400</v>
      </c>
      <c r="BB130" s="184">
        <v>1406950</v>
      </c>
      <c r="BC130" s="177" t="s">
        <v>200</v>
      </c>
      <c r="BD130" s="184">
        <v>3850600</v>
      </c>
      <c r="BE130" s="184">
        <v>3295225</v>
      </c>
      <c r="BF130" s="184">
        <v>1295875</v>
      </c>
      <c r="BG130" s="184">
        <v>26065600</v>
      </c>
      <c r="BH130" s="184">
        <v>925625</v>
      </c>
      <c r="BI130" s="184">
        <v>1925300</v>
      </c>
      <c r="BJ130" s="187" t="s">
        <v>200</v>
      </c>
    </row>
    <row r="131" spans="2:62" x14ac:dyDescent="0.2">
      <c r="B131" s="175">
        <v>45824</v>
      </c>
      <c r="C131" s="176">
        <v>45824.458686712962</v>
      </c>
      <c r="D131" s="177" t="s">
        <v>267</v>
      </c>
      <c r="E131" s="178" t="s">
        <v>268</v>
      </c>
      <c r="F131" s="179" t="s">
        <v>269</v>
      </c>
      <c r="G131" s="180">
        <v>74.510000000000005</v>
      </c>
      <c r="H131" s="181">
        <v>0.01</v>
      </c>
      <c r="I131" s="181">
        <v>85</v>
      </c>
      <c r="J131" s="181">
        <v>73.89</v>
      </c>
      <c r="K131" s="182">
        <v>74.489999999999995</v>
      </c>
      <c r="L131" s="183">
        <v>3245500</v>
      </c>
      <c r="M131" s="184">
        <v>4373500</v>
      </c>
      <c r="N131" s="184">
        <v>95</v>
      </c>
      <c r="O131" s="184">
        <v>46</v>
      </c>
      <c r="P131" s="181">
        <v>3.8</v>
      </c>
      <c r="Q131" s="184">
        <v>46037</v>
      </c>
      <c r="R131" s="184">
        <v>174940</v>
      </c>
      <c r="S131" s="184">
        <v>223768</v>
      </c>
      <c r="T131" s="184">
        <v>147523</v>
      </c>
      <c r="U131" s="184">
        <v>207653</v>
      </c>
      <c r="V131" s="182">
        <v>1.35</v>
      </c>
      <c r="W131" s="183">
        <v>25</v>
      </c>
      <c r="X131" s="185">
        <v>22</v>
      </c>
      <c r="Y131" s="183">
        <v>241822205</v>
      </c>
      <c r="Z131" s="179" t="s">
        <v>270</v>
      </c>
      <c r="AA131" s="183">
        <v>2160790</v>
      </c>
      <c r="AB131" s="184">
        <v>3725500</v>
      </c>
      <c r="AC131" s="184">
        <v>5923545</v>
      </c>
      <c r="AD131" s="184">
        <v>782355</v>
      </c>
      <c r="AE131" s="184">
        <v>4023540</v>
      </c>
      <c r="AF131" s="177" t="s">
        <v>200</v>
      </c>
      <c r="AG131" s="184">
        <v>2086280</v>
      </c>
      <c r="AH131" s="184">
        <v>1825495</v>
      </c>
      <c r="AI131" s="184">
        <v>8121590</v>
      </c>
      <c r="AJ131" s="184">
        <v>18515735</v>
      </c>
      <c r="AK131" s="184">
        <v>2905890</v>
      </c>
      <c r="AL131" s="184">
        <v>10990225</v>
      </c>
      <c r="AM131" s="184">
        <v>819610</v>
      </c>
      <c r="AN131" s="184">
        <v>3129420</v>
      </c>
      <c r="AO131" s="184">
        <v>894120</v>
      </c>
      <c r="AP131" s="184">
        <v>18590245</v>
      </c>
      <c r="AQ131" s="184">
        <v>37255</v>
      </c>
      <c r="AR131" s="184">
        <v>18515735</v>
      </c>
      <c r="AS131" s="184">
        <v>27270660</v>
      </c>
      <c r="AT131" s="184">
        <v>0</v>
      </c>
      <c r="AU131" s="184">
        <v>596080</v>
      </c>
      <c r="AV131" s="184">
        <v>0</v>
      </c>
      <c r="AW131" s="184">
        <v>447060</v>
      </c>
      <c r="AX131" s="184">
        <v>46345220</v>
      </c>
      <c r="AY131" s="184">
        <v>372550</v>
      </c>
      <c r="AZ131" s="184">
        <v>18180440</v>
      </c>
      <c r="BA131" s="184">
        <v>6556880</v>
      </c>
      <c r="BB131" s="184">
        <v>1415690</v>
      </c>
      <c r="BC131" s="177" t="s">
        <v>200</v>
      </c>
      <c r="BD131" s="184">
        <v>3874520</v>
      </c>
      <c r="BE131" s="184">
        <v>3315695</v>
      </c>
      <c r="BF131" s="184">
        <v>1303925</v>
      </c>
      <c r="BG131" s="184">
        <v>26227520</v>
      </c>
      <c r="BH131" s="184">
        <v>931375</v>
      </c>
      <c r="BI131" s="184">
        <v>1937260</v>
      </c>
      <c r="BJ131" s="187" t="s">
        <v>200</v>
      </c>
    </row>
    <row r="132" spans="2:62" x14ac:dyDescent="0.2">
      <c r="B132" s="175">
        <v>45821</v>
      </c>
      <c r="C132" s="176">
        <v>45821.458709004626</v>
      </c>
      <c r="D132" s="177" t="s">
        <v>271</v>
      </c>
      <c r="E132" s="178" t="s">
        <v>268</v>
      </c>
      <c r="F132" s="179" t="s">
        <v>269</v>
      </c>
      <c r="G132" s="180">
        <v>75.36</v>
      </c>
      <c r="H132" s="181">
        <v>64</v>
      </c>
      <c r="I132" s="181">
        <v>85</v>
      </c>
      <c r="J132" s="181">
        <v>74.94</v>
      </c>
      <c r="K132" s="182">
        <v>75.22</v>
      </c>
      <c r="L132" s="183">
        <v>1607000</v>
      </c>
      <c r="M132" s="184">
        <v>2950500</v>
      </c>
      <c r="N132" s="184">
        <v>86</v>
      </c>
      <c r="O132" s="184">
        <v>32</v>
      </c>
      <c r="P132" s="181">
        <v>4.3</v>
      </c>
      <c r="Q132" s="184">
        <v>34308</v>
      </c>
      <c r="R132" s="184">
        <v>147525</v>
      </c>
      <c r="S132" s="184">
        <v>189553</v>
      </c>
      <c r="T132" s="184">
        <v>107133</v>
      </c>
      <c r="U132" s="184">
        <v>180672</v>
      </c>
      <c r="V132" s="182">
        <v>1.84</v>
      </c>
      <c r="W132" s="183">
        <v>20</v>
      </c>
      <c r="X132" s="185">
        <v>15</v>
      </c>
      <c r="Y132" s="183">
        <v>121103520</v>
      </c>
      <c r="Z132" s="179" t="s">
        <v>272</v>
      </c>
      <c r="AA132" s="186" t="s">
        <v>200</v>
      </c>
      <c r="AB132" s="177" t="s">
        <v>200</v>
      </c>
      <c r="AC132" s="177" t="s">
        <v>200</v>
      </c>
      <c r="AD132" s="177" t="s">
        <v>200</v>
      </c>
      <c r="AE132" s="177" t="s">
        <v>200</v>
      </c>
      <c r="AF132" s="184">
        <v>121103520</v>
      </c>
      <c r="AG132" s="177" t="s">
        <v>200</v>
      </c>
      <c r="AH132" s="177" t="s">
        <v>200</v>
      </c>
      <c r="AI132" s="177" t="s">
        <v>200</v>
      </c>
      <c r="AJ132" s="177" t="s">
        <v>200</v>
      </c>
      <c r="AK132" s="177" t="s">
        <v>200</v>
      </c>
      <c r="AL132" s="177" t="s">
        <v>200</v>
      </c>
      <c r="AM132" s="177" t="s">
        <v>200</v>
      </c>
      <c r="AN132" s="177" t="s">
        <v>200</v>
      </c>
      <c r="AO132" s="177" t="s">
        <v>200</v>
      </c>
      <c r="AP132" s="177" t="s">
        <v>200</v>
      </c>
      <c r="AQ132" s="177" t="s">
        <v>200</v>
      </c>
      <c r="AR132" s="177" t="s">
        <v>200</v>
      </c>
      <c r="AS132" s="177" t="s">
        <v>200</v>
      </c>
      <c r="AT132" s="177" t="s">
        <v>200</v>
      </c>
      <c r="AU132" s="177" t="s">
        <v>200</v>
      </c>
      <c r="AV132" s="177" t="s">
        <v>200</v>
      </c>
      <c r="AW132" s="177" t="s">
        <v>200</v>
      </c>
      <c r="AX132" s="177" t="s">
        <v>200</v>
      </c>
      <c r="AY132" s="177" t="s">
        <v>200</v>
      </c>
      <c r="AZ132" s="177" t="s">
        <v>200</v>
      </c>
      <c r="BA132" s="177" t="s">
        <v>200</v>
      </c>
      <c r="BB132" s="177" t="s">
        <v>200</v>
      </c>
      <c r="BC132" s="177" t="s">
        <v>200</v>
      </c>
      <c r="BD132" s="177" t="s">
        <v>200</v>
      </c>
      <c r="BE132" s="177" t="s">
        <v>200</v>
      </c>
      <c r="BF132" s="177" t="s">
        <v>200</v>
      </c>
      <c r="BG132" s="177" t="s">
        <v>200</v>
      </c>
      <c r="BH132" s="177" t="s">
        <v>200</v>
      </c>
      <c r="BI132" s="177" t="s">
        <v>200</v>
      </c>
      <c r="BJ132" s="187" t="s">
        <v>200</v>
      </c>
    </row>
    <row r="133" spans="2:62" x14ac:dyDescent="0.2">
      <c r="B133" s="175">
        <v>45820</v>
      </c>
      <c r="C133" s="176">
        <v>45820.459000289353</v>
      </c>
      <c r="D133" s="177" t="s">
        <v>267</v>
      </c>
      <c r="E133" s="178" t="s">
        <v>268</v>
      </c>
      <c r="F133" s="179" t="s">
        <v>269</v>
      </c>
      <c r="G133" s="180">
        <v>72.709999999999994</v>
      </c>
      <c r="H133" s="181">
        <v>64</v>
      </c>
      <c r="I133" s="181">
        <v>120</v>
      </c>
      <c r="J133" s="181">
        <v>73.650000000000006</v>
      </c>
      <c r="K133" s="182">
        <v>72.75</v>
      </c>
      <c r="L133" s="183">
        <v>3245500</v>
      </c>
      <c r="M133" s="184">
        <v>4249000</v>
      </c>
      <c r="N133" s="184">
        <v>106</v>
      </c>
      <c r="O133" s="184">
        <v>58</v>
      </c>
      <c r="P133" s="181">
        <v>4.24</v>
      </c>
      <c r="Q133" s="184">
        <v>40085</v>
      </c>
      <c r="R133" s="184">
        <v>169960</v>
      </c>
      <c r="S133" s="184">
        <v>227638</v>
      </c>
      <c r="T133" s="184">
        <v>147523</v>
      </c>
      <c r="U133" s="184">
        <v>207848</v>
      </c>
      <c r="V133" s="182">
        <v>1.31</v>
      </c>
      <c r="W133" s="183">
        <v>25</v>
      </c>
      <c r="X133" s="185">
        <v>22</v>
      </c>
      <c r="Y133" s="183">
        <v>235980305</v>
      </c>
      <c r="Z133" s="179" t="s">
        <v>270</v>
      </c>
      <c r="AA133" s="183">
        <v>2108590</v>
      </c>
      <c r="AB133" s="184">
        <v>3635500</v>
      </c>
      <c r="AC133" s="184">
        <v>5780445</v>
      </c>
      <c r="AD133" s="184">
        <v>763455</v>
      </c>
      <c r="AE133" s="184">
        <v>3926340</v>
      </c>
      <c r="AF133" s="177" t="s">
        <v>200</v>
      </c>
      <c r="AG133" s="184">
        <v>2035880</v>
      </c>
      <c r="AH133" s="184">
        <v>1781395</v>
      </c>
      <c r="AI133" s="184">
        <v>7925390</v>
      </c>
      <c r="AJ133" s="184">
        <v>18068435</v>
      </c>
      <c r="AK133" s="184">
        <v>2835690</v>
      </c>
      <c r="AL133" s="184">
        <v>10724725</v>
      </c>
      <c r="AM133" s="184">
        <v>799810</v>
      </c>
      <c r="AN133" s="184">
        <v>3053820</v>
      </c>
      <c r="AO133" s="184">
        <v>872520</v>
      </c>
      <c r="AP133" s="184">
        <v>18141145</v>
      </c>
      <c r="AQ133" s="184">
        <v>36355</v>
      </c>
      <c r="AR133" s="184">
        <v>18068435</v>
      </c>
      <c r="AS133" s="184">
        <v>26611860</v>
      </c>
      <c r="AT133" s="184">
        <v>0</v>
      </c>
      <c r="AU133" s="184">
        <v>581680</v>
      </c>
      <c r="AV133" s="184">
        <v>0</v>
      </c>
      <c r="AW133" s="184">
        <v>436260</v>
      </c>
      <c r="AX133" s="184">
        <v>45225620</v>
      </c>
      <c r="AY133" s="184">
        <v>363550</v>
      </c>
      <c r="AZ133" s="184">
        <v>17741240</v>
      </c>
      <c r="BA133" s="184">
        <v>6398480</v>
      </c>
      <c r="BB133" s="184">
        <v>1381490</v>
      </c>
      <c r="BC133" s="177" t="s">
        <v>200</v>
      </c>
      <c r="BD133" s="184">
        <v>3780920</v>
      </c>
      <c r="BE133" s="184">
        <v>3235595</v>
      </c>
      <c r="BF133" s="184">
        <v>1272425</v>
      </c>
      <c r="BG133" s="184">
        <v>25593920</v>
      </c>
      <c r="BH133" s="184">
        <v>908875</v>
      </c>
      <c r="BI133" s="184">
        <v>1890460</v>
      </c>
      <c r="BJ133" s="187" t="s">
        <v>200</v>
      </c>
    </row>
    <row r="134" spans="2:62" x14ac:dyDescent="0.2">
      <c r="B134" s="175">
        <v>45819</v>
      </c>
      <c r="C134" s="176">
        <v>45819.458643136575</v>
      </c>
      <c r="D134" s="177" t="s">
        <v>273</v>
      </c>
      <c r="E134" s="178" t="s">
        <v>268</v>
      </c>
      <c r="F134" s="179" t="s">
        <v>269</v>
      </c>
      <c r="G134" s="180">
        <v>73.5</v>
      </c>
      <c r="H134" s="181">
        <v>60</v>
      </c>
      <c r="I134" s="181">
        <v>120</v>
      </c>
      <c r="J134" s="181">
        <v>73.66</v>
      </c>
      <c r="K134" s="182">
        <v>73.36</v>
      </c>
      <c r="L134" s="183">
        <v>2072500</v>
      </c>
      <c r="M134" s="184">
        <v>3233500</v>
      </c>
      <c r="N134" s="184">
        <v>107</v>
      </c>
      <c r="O134" s="184">
        <v>39</v>
      </c>
      <c r="P134" s="181">
        <v>3.82</v>
      </c>
      <c r="Q134" s="184">
        <v>30220</v>
      </c>
      <c r="R134" s="184">
        <v>115482</v>
      </c>
      <c r="S134" s="184">
        <v>154408</v>
      </c>
      <c r="T134" s="184">
        <v>98690</v>
      </c>
      <c r="U134" s="184">
        <v>167510</v>
      </c>
      <c r="V134" s="182">
        <v>1.56</v>
      </c>
      <c r="W134" s="183">
        <v>28</v>
      </c>
      <c r="X134" s="185">
        <v>21</v>
      </c>
      <c r="Y134" s="183">
        <v>152328750</v>
      </c>
      <c r="Z134" s="179" t="s">
        <v>274</v>
      </c>
      <c r="AA134" s="186" t="s">
        <v>200</v>
      </c>
      <c r="AB134" s="177" t="s">
        <v>200</v>
      </c>
      <c r="AC134" s="177" t="s">
        <v>200</v>
      </c>
      <c r="AD134" s="177" t="s">
        <v>200</v>
      </c>
      <c r="AE134" s="177" t="s">
        <v>200</v>
      </c>
      <c r="AF134" s="177" t="s">
        <v>200</v>
      </c>
      <c r="AG134" s="177" t="s">
        <v>200</v>
      </c>
      <c r="AH134" s="177" t="s">
        <v>200</v>
      </c>
      <c r="AI134" s="177" t="s">
        <v>200</v>
      </c>
      <c r="AJ134" s="177" t="s">
        <v>200</v>
      </c>
      <c r="AK134" s="177" t="s">
        <v>200</v>
      </c>
      <c r="AL134" s="177" t="s">
        <v>200</v>
      </c>
      <c r="AM134" s="177" t="s">
        <v>200</v>
      </c>
      <c r="AN134" s="177" t="s">
        <v>200</v>
      </c>
      <c r="AO134" s="177" t="s">
        <v>200</v>
      </c>
      <c r="AP134" s="177" t="s">
        <v>200</v>
      </c>
      <c r="AQ134" s="177" t="s">
        <v>200</v>
      </c>
      <c r="AR134" s="177" t="s">
        <v>200</v>
      </c>
      <c r="AS134" s="177" t="s">
        <v>200</v>
      </c>
      <c r="AT134" s="177" t="s">
        <v>200</v>
      </c>
      <c r="AU134" s="177" t="s">
        <v>200</v>
      </c>
      <c r="AV134" s="177" t="s">
        <v>200</v>
      </c>
      <c r="AW134" s="177" t="s">
        <v>200</v>
      </c>
      <c r="AX134" s="177" t="s">
        <v>200</v>
      </c>
      <c r="AY134" s="177" t="s">
        <v>200</v>
      </c>
      <c r="AZ134" s="177" t="s">
        <v>200</v>
      </c>
      <c r="BA134" s="177" t="s">
        <v>200</v>
      </c>
      <c r="BB134" s="177" t="s">
        <v>200</v>
      </c>
      <c r="BC134" s="184">
        <v>152328750</v>
      </c>
      <c r="BD134" s="177" t="s">
        <v>200</v>
      </c>
      <c r="BE134" s="177" t="s">
        <v>200</v>
      </c>
      <c r="BF134" s="177" t="s">
        <v>200</v>
      </c>
      <c r="BG134" s="177" t="s">
        <v>200</v>
      </c>
      <c r="BH134" s="177" t="s">
        <v>200</v>
      </c>
      <c r="BI134" s="177" t="s">
        <v>200</v>
      </c>
      <c r="BJ134" s="187" t="s">
        <v>200</v>
      </c>
    </row>
    <row r="135" spans="2:62" x14ac:dyDescent="0.2">
      <c r="B135" s="175">
        <v>45818</v>
      </c>
      <c r="C135" s="176">
        <v>45818.458766678239</v>
      </c>
      <c r="D135" s="177" t="s">
        <v>267</v>
      </c>
      <c r="E135" s="178" t="s">
        <v>268</v>
      </c>
      <c r="F135" s="179" t="s">
        <v>269</v>
      </c>
      <c r="G135" s="180">
        <v>72.16</v>
      </c>
      <c r="H135" s="181">
        <v>64</v>
      </c>
      <c r="I135" s="181">
        <v>85</v>
      </c>
      <c r="J135" s="181">
        <v>72.400000000000006</v>
      </c>
      <c r="K135" s="182">
        <v>72</v>
      </c>
      <c r="L135" s="183">
        <v>3245500</v>
      </c>
      <c r="M135" s="184">
        <v>5324500</v>
      </c>
      <c r="N135" s="184">
        <v>103</v>
      </c>
      <c r="O135" s="184">
        <v>34</v>
      </c>
      <c r="P135" s="181">
        <v>3.68</v>
      </c>
      <c r="Q135" s="184">
        <v>51694</v>
      </c>
      <c r="R135" s="184">
        <v>190161</v>
      </c>
      <c r="S135" s="184">
        <v>236830</v>
      </c>
      <c r="T135" s="184">
        <v>170816</v>
      </c>
      <c r="U135" s="184">
        <v>231808</v>
      </c>
      <c r="V135" s="182">
        <v>1.64</v>
      </c>
      <c r="W135" s="183">
        <v>28</v>
      </c>
      <c r="X135" s="185">
        <v>19</v>
      </c>
      <c r="Y135" s="183">
        <v>234195280</v>
      </c>
      <c r="Z135" s="179" t="s">
        <v>270</v>
      </c>
      <c r="AA135" s="183">
        <v>2092640</v>
      </c>
      <c r="AB135" s="184">
        <v>3608000</v>
      </c>
      <c r="AC135" s="184">
        <v>5736720</v>
      </c>
      <c r="AD135" s="184">
        <v>757680</v>
      </c>
      <c r="AE135" s="184">
        <v>3896640</v>
      </c>
      <c r="AF135" s="177" t="s">
        <v>200</v>
      </c>
      <c r="AG135" s="184">
        <v>2020480</v>
      </c>
      <c r="AH135" s="184">
        <v>1767920</v>
      </c>
      <c r="AI135" s="184">
        <v>7865440</v>
      </c>
      <c r="AJ135" s="184">
        <v>17931760</v>
      </c>
      <c r="AK135" s="184">
        <v>2814240</v>
      </c>
      <c r="AL135" s="184">
        <v>10643600</v>
      </c>
      <c r="AM135" s="184">
        <v>793760</v>
      </c>
      <c r="AN135" s="184">
        <v>3030720</v>
      </c>
      <c r="AO135" s="184">
        <v>865920</v>
      </c>
      <c r="AP135" s="184">
        <v>18003920</v>
      </c>
      <c r="AQ135" s="184">
        <v>36080</v>
      </c>
      <c r="AR135" s="184">
        <v>17931760</v>
      </c>
      <c r="AS135" s="184">
        <v>26410560</v>
      </c>
      <c r="AT135" s="184">
        <v>0</v>
      </c>
      <c r="AU135" s="184">
        <v>577280</v>
      </c>
      <c r="AV135" s="184">
        <v>0</v>
      </c>
      <c r="AW135" s="184">
        <v>432960</v>
      </c>
      <c r="AX135" s="184">
        <v>44883520</v>
      </c>
      <c r="AY135" s="184">
        <v>360800</v>
      </c>
      <c r="AZ135" s="184">
        <v>17607040</v>
      </c>
      <c r="BA135" s="184">
        <v>6350080</v>
      </c>
      <c r="BB135" s="184">
        <v>1371040</v>
      </c>
      <c r="BC135" s="177" t="s">
        <v>200</v>
      </c>
      <c r="BD135" s="184">
        <v>3752320</v>
      </c>
      <c r="BE135" s="184">
        <v>3211120</v>
      </c>
      <c r="BF135" s="184">
        <v>1262800</v>
      </c>
      <c r="BG135" s="184">
        <v>25400320</v>
      </c>
      <c r="BH135" s="184">
        <v>902000</v>
      </c>
      <c r="BI135" s="184">
        <v>1876160</v>
      </c>
      <c r="BJ135" s="187" t="s">
        <v>200</v>
      </c>
    </row>
    <row r="136" spans="2:62" x14ac:dyDescent="0.2">
      <c r="B136" s="175">
        <v>45814</v>
      </c>
      <c r="C136" s="176">
        <v>45814.458765462965</v>
      </c>
      <c r="D136" s="177" t="s">
        <v>271</v>
      </c>
      <c r="E136" s="178" t="s">
        <v>268</v>
      </c>
      <c r="F136" s="179" t="s">
        <v>269</v>
      </c>
      <c r="G136" s="180">
        <v>72.3</v>
      </c>
      <c r="H136" s="181">
        <v>64</v>
      </c>
      <c r="I136" s="181">
        <v>82</v>
      </c>
      <c r="J136" s="181">
        <v>72.040000000000006</v>
      </c>
      <c r="K136" s="182">
        <v>71.92</v>
      </c>
      <c r="L136" s="183">
        <v>1607000</v>
      </c>
      <c r="M136" s="184">
        <v>2801500</v>
      </c>
      <c r="N136" s="184">
        <v>90</v>
      </c>
      <c r="O136" s="184">
        <v>24</v>
      </c>
      <c r="P136" s="181">
        <v>4.5</v>
      </c>
      <c r="Q136" s="184">
        <v>31128</v>
      </c>
      <c r="R136" s="184">
        <v>140075</v>
      </c>
      <c r="S136" s="184">
        <v>120062</v>
      </c>
      <c r="T136" s="184">
        <v>114786</v>
      </c>
      <c r="U136" s="184">
        <v>122384</v>
      </c>
      <c r="V136" s="182">
        <v>1.74</v>
      </c>
      <c r="W136" s="183">
        <v>20</v>
      </c>
      <c r="X136" s="185">
        <v>14</v>
      </c>
      <c r="Y136" s="183">
        <v>116186100</v>
      </c>
      <c r="Z136" s="179" t="s">
        <v>272</v>
      </c>
      <c r="AA136" s="186" t="s">
        <v>200</v>
      </c>
      <c r="AB136" s="177" t="s">
        <v>200</v>
      </c>
      <c r="AC136" s="177" t="s">
        <v>200</v>
      </c>
      <c r="AD136" s="177" t="s">
        <v>200</v>
      </c>
      <c r="AE136" s="177" t="s">
        <v>200</v>
      </c>
      <c r="AF136" s="184">
        <v>116186100</v>
      </c>
      <c r="AG136" s="177" t="s">
        <v>200</v>
      </c>
      <c r="AH136" s="177" t="s">
        <v>200</v>
      </c>
      <c r="AI136" s="177" t="s">
        <v>200</v>
      </c>
      <c r="AJ136" s="177" t="s">
        <v>200</v>
      </c>
      <c r="AK136" s="177" t="s">
        <v>200</v>
      </c>
      <c r="AL136" s="177" t="s">
        <v>200</v>
      </c>
      <c r="AM136" s="177" t="s">
        <v>200</v>
      </c>
      <c r="AN136" s="177" t="s">
        <v>200</v>
      </c>
      <c r="AO136" s="177" t="s">
        <v>200</v>
      </c>
      <c r="AP136" s="177" t="s">
        <v>200</v>
      </c>
      <c r="AQ136" s="177" t="s">
        <v>200</v>
      </c>
      <c r="AR136" s="177" t="s">
        <v>200</v>
      </c>
      <c r="AS136" s="177" t="s">
        <v>200</v>
      </c>
      <c r="AT136" s="177" t="s">
        <v>200</v>
      </c>
      <c r="AU136" s="177" t="s">
        <v>200</v>
      </c>
      <c r="AV136" s="177" t="s">
        <v>200</v>
      </c>
      <c r="AW136" s="177" t="s">
        <v>200</v>
      </c>
      <c r="AX136" s="177" t="s">
        <v>200</v>
      </c>
      <c r="AY136" s="177" t="s">
        <v>200</v>
      </c>
      <c r="AZ136" s="177" t="s">
        <v>200</v>
      </c>
      <c r="BA136" s="177" t="s">
        <v>200</v>
      </c>
      <c r="BB136" s="177" t="s">
        <v>200</v>
      </c>
      <c r="BC136" s="177" t="s">
        <v>200</v>
      </c>
      <c r="BD136" s="177" t="s">
        <v>200</v>
      </c>
      <c r="BE136" s="177" t="s">
        <v>200</v>
      </c>
      <c r="BF136" s="177" t="s">
        <v>200</v>
      </c>
      <c r="BG136" s="177" t="s">
        <v>200</v>
      </c>
      <c r="BH136" s="177" t="s">
        <v>200</v>
      </c>
      <c r="BI136" s="177" t="s">
        <v>200</v>
      </c>
      <c r="BJ136" s="187" t="s">
        <v>200</v>
      </c>
    </row>
    <row r="137" spans="2:62" x14ac:dyDescent="0.2">
      <c r="B137" s="175">
        <v>45813</v>
      </c>
      <c r="C137" s="176">
        <v>45813.458592696756</v>
      </c>
      <c r="D137" s="177" t="s">
        <v>267</v>
      </c>
      <c r="E137" s="178" t="s">
        <v>268</v>
      </c>
      <c r="F137" s="179" t="s">
        <v>269</v>
      </c>
      <c r="G137" s="180">
        <v>72.540000000000006</v>
      </c>
      <c r="H137" s="181">
        <v>64</v>
      </c>
      <c r="I137" s="181">
        <v>80</v>
      </c>
      <c r="J137" s="181">
        <v>72.180000000000007</v>
      </c>
      <c r="K137" s="182">
        <v>72.239999999999995</v>
      </c>
      <c r="L137" s="183">
        <v>3245500</v>
      </c>
      <c r="M137" s="184">
        <v>4752000</v>
      </c>
      <c r="N137" s="184">
        <v>93</v>
      </c>
      <c r="O137" s="184">
        <v>26</v>
      </c>
      <c r="P137" s="181">
        <v>4.43</v>
      </c>
      <c r="Q137" s="184">
        <v>51097</v>
      </c>
      <c r="R137" s="184">
        <v>226286</v>
      </c>
      <c r="S137" s="184">
        <v>321271</v>
      </c>
      <c r="T137" s="184">
        <v>231821</v>
      </c>
      <c r="U137" s="184">
        <v>335065</v>
      </c>
      <c r="V137" s="182">
        <v>1.46</v>
      </c>
      <c r="W137" s="183">
        <v>21</v>
      </c>
      <c r="X137" s="185">
        <v>14</v>
      </c>
      <c r="Y137" s="183">
        <v>235428570</v>
      </c>
      <c r="Z137" s="179" t="s">
        <v>270</v>
      </c>
      <c r="AA137" s="183">
        <v>2103660</v>
      </c>
      <c r="AB137" s="184">
        <v>3627000</v>
      </c>
      <c r="AC137" s="184">
        <v>5766930</v>
      </c>
      <c r="AD137" s="184">
        <v>761670</v>
      </c>
      <c r="AE137" s="184">
        <v>3917160</v>
      </c>
      <c r="AF137" s="177" t="s">
        <v>200</v>
      </c>
      <c r="AG137" s="184">
        <v>2031120</v>
      </c>
      <c r="AH137" s="184">
        <v>1777230</v>
      </c>
      <c r="AI137" s="184">
        <v>7906860</v>
      </c>
      <c r="AJ137" s="184">
        <v>18026190</v>
      </c>
      <c r="AK137" s="184">
        <v>2829060</v>
      </c>
      <c r="AL137" s="184">
        <v>10699650</v>
      </c>
      <c r="AM137" s="184">
        <v>797940</v>
      </c>
      <c r="AN137" s="184">
        <v>3046680</v>
      </c>
      <c r="AO137" s="184">
        <v>870480</v>
      </c>
      <c r="AP137" s="184">
        <v>18098730</v>
      </c>
      <c r="AQ137" s="184">
        <v>36270</v>
      </c>
      <c r="AR137" s="184">
        <v>18026190</v>
      </c>
      <c r="AS137" s="184">
        <v>26549640</v>
      </c>
      <c r="AT137" s="184">
        <v>0</v>
      </c>
      <c r="AU137" s="184">
        <v>580320</v>
      </c>
      <c r="AV137" s="184">
        <v>0</v>
      </c>
      <c r="AW137" s="184">
        <v>435240</v>
      </c>
      <c r="AX137" s="184">
        <v>45119880</v>
      </c>
      <c r="AY137" s="184">
        <v>362700</v>
      </c>
      <c r="AZ137" s="184">
        <v>17699760</v>
      </c>
      <c r="BA137" s="184">
        <v>6383520</v>
      </c>
      <c r="BB137" s="184">
        <v>1378260</v>
      </c>
      <c r="BC137" s="177" t="s">
        <v>200</v>
      </c>
      <c r="BD137" s="184">
        <v>3772080</v>
      </c>
      <c r="BE137" s="184">
        <v>3228030</v>
      </c>
      <c r="BF137" s="184">
        <v>1269450</v>
      </c>
      <c r="BG137" s="184">
        <v>25534080</v>
      </c>
      <c r="BH137" s="184">
        <v>906750</v>
      </c>
      <c r="BI137" s="184">
        <v>1886040</v>
      </c>
      <c r="BJ137" s="187" t="s">
        <v>200</v>
      </c>
    </row>
    <row r="138" spans="2:62" x14ac:dyDescent="0.2">
      <c r="B138" s="175">
        <v>45811</v>
      </c>
      <c r="C138" s="176">
        <v>45811.458764201387</v>
      </c>
      <c r="D138" s="177" t="s">
        <v>267</v>
      </c>
      <c r="E138" s="178" t="s">
        <v>268</v>
      </c>
      <c r="F138" s="179" t="s">
        <v>269</v>
      </c>
      <c r="G138" s="180">
        <v>70.61</v>
      </c>
      <c r="H138" s="181">
        <v>64</v>
      </c>
      <c r="I138" s="181">
        <v>82</v>
      </c>
      <c r="J138" s="181">
        <v>70.790000000000006</v>
      </c>
      <c r="K138" s="182">
        <v>70.38</v>
      </c>
      <c r="L138" s="183">
        <v>3245500</v>
      </c>
      <c r="M138" s="184">
        <v>4787500</v>
      </c>
      <c r="N138" s="184">
        <v>104</v>
      </c>
      <c r="O138" s="184">
        <v>33</v>
      </c>
      <c r="P138" s="181">
        <v>4.16</v>
      </c>
      <c r="Q138" s="184">
        <v>46034</v>
      </c>
      <c r="R138" s="184">
        <v>191500</v>
      </c>
      <c r="S138" s="184">
        <v>207148</v>
      </c>
      <c r="T138" s="184">
        <v>190912</v>
      </c>
      <c r="U138" s="184">
        <v>168957</v>
      </c>
      <c r="V138" s="182">
        <v>1.48</v>
      </c>
      <c r="W138" s="183">
        <v>25</v>
      </c>
      <c r="X138" s="185">
        <v>17</v>
      </c>
      <c r="Y138" s="183">
        <v>229164755</v>
      </c>
      <c r="Z138" s="179" t="s">
        <v>270</v>
      </c>
      <c r="AA138" s="183">
        <v>2047690</v>
      </c>
      <c r="AB138" s="184">
        <v>3530500</v>
      </c>
      <c r="AC138" s="184">
        <v>5613495</v>
      </c>
      <c r="AD138" s="184">
        <v>741405</v>
      </c>
      <c r="AE138" s="184">
        <v>3812940</v>
      </c>
      <c r="AF138" s="177" t="s">
        <v>200</v>
      </c>
      <c r="AG138" s="184">
        <v>1977080</v>
      </c>
      <c r="AH138" s="184">
        <v>1729945</v>
      </c>
      <c r="AI138" s="184">
        <v>7696490</v>
      </c>
      <c r="AJ138" s="184">
        <v>17546585</v>
      </c>
      <c r="AK138" s="184">
        <v>2753790</v>
      </c>
      <c r="AL138" s="184">
        <v>10414975</v>
      </c>
      <c r="AM138" s="184">
        <v>776710</v>
      </c>
      <c r="AN138" s="184">
        <v>2965620</v>
      </c>
      <c r="AO138" s="184">
        <v>847320</v>
      </c>
      <c r="AP138" s="184">
        <v>17617195</v>
      </c>
      <c r="AQ138" s="184">
        <v>35305</v>
      </c>
      <c r="AR138" s="184">
        <v>17546585</v>
      </c>
      <c r="AS138" s="184">
        <v>25843260</v>
      </c>
      <c r="AT138" s="184">
        <v>0</v>
      </c>
      <c r="AU138" s="184">
        <v>564880</v>
      </c>
      <c r="AV138" s="184">
        <v>0</v>
      </c>
      <c r="AW138" s="184">
        <v>423660</v>
      </c>
      <c r="AX138" s="184">
        <v>43919420</v>
      </c>
      <c r="AY138" s="184">
        <v>353050</v>
      </c>
      <c r="AZ138" s="184">
        <v>17228840</v>
      </c>
      <c r="BA138" s="184">
        <v>6213680</v>
      </c>
      <c r="BB138" s="184">
        <v>1341590</v>
      </c>
      <c r="BC138" s="177" t="s">
        <v>200</v>
      </c>
      <c r="BD138" s="184">
        <v>3671720</v>
      </c>
      <c r="BE138" s="184">
        <v>3142145</v>
      </c>
      <c r="BF138" s="184">
        <v>1235675</v>
      </c>
      <c r="BG138" s="184">
        <v>24854720</v>
      </c>
      <c r="BH138" s="184">
        <v>882625</v>
      </c>
      <c r="BI138" s="184">
        <v>1835860</v>
      </c>
      <c r="BJ138" s="187" t="s">
        <v>200</v>
      </c>
    </row>
    <row r="139" spans="2:62" x14ac:dyDescent="0.2">
      <c r="B139" s="175">
        <v>45810</v>
      </c>
      <c r="C139" s="176">
        <v>45810.45866498843</v>
      </c>
      <c r="D139" s="177" t="s">
        <v>267</v>
      </c>
      <c r="E139" s="178" t="s">
        <v>268</v>
      </c>
      <c r="F139" s="179" t="s">
        <v>269</v>
      </c>
      <c r="G139" s="180">
        <v>70.58</v>
      </c>
      <c r="H139" s="181">
        <v>64</v>
      </c>
      <c r="I139" s="181">
        <v>85</v>
      </c>
      <c r="J139" s="181">
        <v>70.64</v>
      </c>
      <c r="K139" s="182">
        <v>70.209999999999994</v>
      </c>
      <c r="L139" s="183">
        <v>3245500</v>
      </c>
      <c r="M139" s="184">
        <v>4859500</v>
      </c>
      <c r="N139" s="184">
        <v>107</v>
      </c>
      <c r="O139" s="184">
        <v>26</v>
      </c>
      <c r="P139" s="181">
        <v>4.6500000000000004</v>
      </c>
      <c r="Q139" s="184">
        <v>45416</v>
      </c>
      <c r="R139" s="184">
        <v>211283</v>
      </c>
      <c r="S139" s="184">
        <v>358032</v>
      </c>
      <c r="T139" s="184">
        <v>202844</v>
      </c>
      <c r="U139" s="184">
        <v>346103</v>
      </c>
      <c r="V139" s="182">
        <v>1.5</v>
      </c>
      <c r="W139" s="183">
        <v>23</v>
      </c>
      <c r="X139" s="185">
        <v>16</v>
      </c>
      <c r="Y139" s="183">
        <v>229067390</v>
      </c>
      <c r="Z139" s="179" t="s">
        <v>270</v>
      </c>
      <c r="AA139" s="183">
        <v>2046820</v>
      </c>
      <c r="AB139" s="184">
        <v>3529000</v>
      </c>
      <c r="AC139" s="184">
        <v>5611110</v>
      </c>
      <c r="AD139" s="184">
        <v>741090</v>
      </c>
      <c r="AE139" s="184">
        <v>3811320</v>
      </c>
      <c r="AF139" s="177" t="s">
        <v>200</v>
      </c>
      <c r="AG139" s="184">
        <v>1976240</v>
      </c>
      <c r="AH139" s="184">
        <v>1729210</v>
      </c>
      <c r="AI139" s="184">
        <v>7693220</v>
      </c>
      <c r="AJ139" s="184">
        <v>17539130</v>
      </c>
      <c r="AK139" s="184">
        <v>2752620</v>
      </c>
      <c r="AL139" s="184">
        <v>10410550</v>
      </c>
      <c r="AM139" s="184">
        <v>776380</v>
      </c>
      <c r="AN139" s="184">
        <v>2964360</v>
      </c>
      <c r="AO139" s="184">
        <v>846960</v>
      </c>
      <c r="AP139" s="184">
        <v>17609710</v>
      </c>
      <c r="AQ139" s="184">
        <v>35290</v>
      </c>
      <c r="AR139" s="184">
        <v>17539130</v>
      </c>
      <c r="AS139" s="184">
        <v>25832280</v>
      </c>
      <c r="AT139" s="184">
        <v>0</v>
      </c>
      <c r="AU139" s="184">
        <v>564640</v>
      </c>
      <c r="AV139" s="184">
        <v>0</v>
      </c>
      <c r="AW139" s="184">
        <v>423480</v>
      </c>
      <c r="AX139" s="184">
        <v>43900760</v>
      </c>
      <c r="AY139" s="184">
        <v>352900</v>
      </c>
      <c r="AZ139" s="184">
        <v>17221520</v>
      </c>
      <c r="BA139" s="184">
        <v>6211040</v>
      </c>
      <c r="BB139" s="184">
        <v>1341020</v>
      </c>
      <c r="BC139" s="177" t="s">
        <v>200</v>
      </c>
      <c r="BD139" s="184">
        <v>3670160</v>
      </c>
      <c r="BE139" s="184">
        <v>3140810</v>
      </c>
      <c r="BF139" s="184">
        <v>1235150</v>
      </c>
      <c r="BG139" s="184">
        <v>24844160</v>
      </c>
      <c r="BH139" s="184">
        <v>882250</v>
      </c>
      <c r="BI139" s="184">
        <v>1835080</v>
      </c>
      <c r="BJ139" s="187" t="s">
        <v>200</v>
      </c>
    </row>
    <row r="140" spans="2:62" x14ac:dyDescent="0.2">
      <c r="B140" s="175">
        <v>45805</v>
      </c>
      <c r="C140" s="176">
        <v>45805.458649745371</v>
      </c>
      <c r="D140" s="177" t="s">
        <v>273</v>
      </c>
      <c r="E140" s="178" t="s">
        <v>268</v>
      </c>
      <c r="F140" s="179" t="s">
        <v>269</v>
      </c>
      <c r="G140" s="180">
        <v>70.540000000000006</v>
      </c>
      <c r="H140" s="181">
        <v>62</v>
      </c>
      <c r="I140" s="181">
        <v>85</v>
      </c>
      <c r="J140" s="181">
        <v>70.31</v>
      </c>
      <c r="K140" s="182">
        <v>70.319999999999993</v>
      </c>
      <c r="L140" s="183">
        <v>2072500</v>
      </c>
      <c r="M140" s="184">
        <v>3870000</v>
      </c>
      <c r="N140" s="184">
        <v>101</v>
      </c>
      <c r="O140" s="184">
        <v>27</v>
      </c>
      <c r="P140" s="181">
        <v>3.88</v>
      </c>
      <c r="Q140" s="184">
        <v>38317</v>
      </c>
      <c r="R140" s="184">
        <v>148846</v>
      </c>
      <c r="S140" s="184">
        <v>179624</v>
      </c>
      <c r="T140" s="184">
        <v>129531</v>
      </c>
      <c r="U140" s="184">
        <v>180400</v>
      </c>
      <c r="V140" s="182">
        <v>1.87</v>
      </c>
      <c r="W140" s="183">
        <v>26</v>
      </c>
      <c r="X140" s="185">
        <v>16</v>
      </c>
      <c r="Y140" s="183">
        <v>146194150</v>
      </c>
      <c r="Z140" s="179" t="s">
        <v>274</v>
      </c>
      <c r="AA140" s="186" t="s">
        <v>200</v>
      </c>
      <c r="AB140" s="177" t="s">
        <v>200</v>
      </c>
      <c r="AC140" s="177" t="s">
        <v>200</v>
      </c>
      <c r="AD140" s="177" t="s">
        <v>200</v>
      </c>
      <c r="AE140" s="177" t="s">
        <v>200</v>
      </c>
      <c r="AF140" s="177" t="s">
        <v>200</v>
      </c>
      <c r="AG140" s="177" t="s">
        <v>200</v>
      </c>
      <c r="AH140" s="177" t="s">
        <v>200</v>
      </c>
      <c r="AI140" s="177" t="s">
        <v>200</v>
      </c>
      <c r="AJ140" s="177" t="s">
        <v>200</v>
      </c>
      <c r="AK140" s="177" t="s">
        <v>200</v>
      </c>
      <c r="AL140" s="177" t="s">
        <v>200</v>
      </c>
      <c r="AM140" s="177" t="s">
        <v>200</v>
      </c>
      <c r="AN140" s="177" t="s">
        <v>200</v>
      </c>
      <c r="AO140" s="177" t="s">
        <v>200</v>
      </c>
      <c r="AP140" s="177" t="s">
        <v>200</v>
      </c>
      <c r="AQ140" s="177" t="s">
        <v>200</v>
      </c>
      <c r="AR140" s="177" t="s">
        <v>200</v>
      </c>
      <c r="AS140" s="177" t="s">
        <v>200</v>
      </c>
      <c r="AT140" s="177" t="s">
        <v>200</v>
      </c>
      <c r="AU140" s="177" t="s">
        <v>200</v>
      </c>
      <c r="AV140" s="177" t="s">
        <v>200</v>
      </c>
      <c r="AW140" s="177" t="s">
        <v>200</v>
      </c>
      <c r="AX140" s="177" t="s">
        <v>200</v>
      </c>
      <c r="AY140" s="177" t="s">
        <v>200</v>
      </c>
      <c r="AZ140" s="177" t="s">
        <v>200</v>
      </c>
      <c r="BA140" s="177" t="s">
        <v>200</v>
      </c>
      <c r="BB140" s="177" t="s">
        <v>200</v>
      </c>
      <c r="BC140" s="184">
        <v>146194150</v>
      </c>
      <c r="BD140" s="177" t="s">
        <v>200</v>
      </c>
      <c r="BE140" s="177" t="s">
        <v>200</v>
      </c>
      <c r="BF140" s="177" t="s">
        <v>200</v>
      </c>
      <c r="BG140" s="177" t="s">
        <v>200</v>
      </c>
      <c r="BH140" s="177" t="s">
        <v>200</v>
      </c>
      <c r="BI140" s="177" t="s">
        <v>200</v>
      </c>
      <c r="BJ140" s="187" t="s">
        <v>200</v>
      </c>
    </row>
    <row r="141" spans="2:62" x14ac:dyDescent="0.2">
      <c r="B141" s="175">
        <v>45804</v>
      </c>
      <c r="C141" s="176">
        <v>45804.459197928241</v>
      </c>
      <c r="D141" s="177" t="s">
        <v>267</v>
      </c>
      <c r="E141" s="178" t="s">
        <v>268</v>
      </c>
      <c r="F141" s="179" t="s">
        <v>269</v>
      </c>
      <c r="G141" s="180">
        <v>71.510000000000005</v>
      </c>
      <c r="H141" s="181">
        <v>62.5</v>
      </c>
      <c r="I141" s="181">
        <v>82.39</v>
      </c>
      <c r="J141" s="181">
        <v>71.7</v>
      </c>
      <c r="K141" s="182">
        <v>71.510000000000005</v>
      </c>
      <c r="L141" s="183">
        <v>3245500</v>
      </c>
      <c r="M141" s="184">
        <v>4513000</v>
      </c>
      <c r="N141" s="184">
        <v>102</v>
      </c>
      <c r="O141" s="184">
        <v>50</v>
      </c>
      <c r="P141" s="181">
        <v>4.8600000000000003</v>
      </c>
      <c r="Q141" s="184">
        <v>44245</v>
      </c>
      <c r="R141" s="184">
        <v>214905</v>
      </c>
      <c r="S141" s="184">
        <v>284540</v>
      </c>
      <c r="T141" s="184">
        <v>180306</v>
      </c>
      <c r="U141" s="184">
        <v>264104</v>
      </c>
      <c r="V141" s="182">
        <v>1.39</v>
      </c>
      <c r="W141" s="183">
        <v>21</v>
      </c>
      <c r="X141" s="185">
        <v>18</v>
      </c>
      <c r="Y141" s="183">
        <v>232085705</v>
      </c>
      <c r="Z141" s="179" t="s">
        <v>270</v>
      </c>
      <c r="AA141" s="183">
        <v>2073790</v>
      </c>
      <c r="AB141" s="184">
        <v>3575500</v>
      </c>
      <c r="AC141" s="184">
        <v>5685045</v>
      </c>
      <c r="AD141" s="184">
        <v>750855</v>
      </c>
      <c r="AE141" s="184">
        <v>3861540</v>
      </c>
      <c r="AF141" s="177" t="s">
        <v>200</v>
      </c>
      <c r="AG141" s="184">
        <v>2002280</v>
      </c>
      <c r="AH141" s="184">
        <v>1751995</v>
      </c>
      <c r="AI141" s="184">
        <v>7794590</v>
      </c>
      <c r="AJ141" s="184">
        <v>17770235</v>
      </c>
      <c r="AK141" s="184">
        <v>2788890</v>
      </c>
      <c r="AL141" s="184">
        <v>10547725</v>
      </c>
      <c r="AM141" s="184">
        <v>786610</v>
      </c>
      <c r="AN141" s="184">
        <v>3003420</v>
      </c>
      <c r="AO141" s="184">
        <v>858120</v>
      </c>
      <c r="AP141" s="184">
        <v>17841745</v>
      </c>
      <c r="AQ141" s="184">
        <v>35755</v>
      </c>
      <c r="AR141" s="184">
        <v>17770235</v>
      </c>
      <c r="AS141" s="184">
        <v>26172660</v>
      </c>
      <c r="AT141" s="184">
        <v>0</v>
      </c>
      <c r="AU141" s="184">
        <v>572080</v>
      </c>
      <c r="AV141" s="184">
        <v>0</v>
      </c>
      <c r="AW141" s="184">
        <v>429060</v>
      </c>
      <c r="AX141" s="184">
        <v>44479220</v>
      </c>
      <c r="AY141" s="184">
        <v>357550</v>
      </c>
      <c r="AZ141" s="184">
        <v>17448440</v>
      </c>
      <c r="BA141" s="184">
        <v>6292880</v>
      </c>
      <c r="BB141" s="184">
        <v>1358690</v>
      </c>
      <c r="BC141" s="177" t="s">
        <v>200</v>
      </c>
      <c r="BD141" s="184">
        <v>3718520</v>
      </c>
      <c r="BE141" s="184">
        <v>3182195</v>
      </c>
      <c r="BF141" s="184">
        <v>1251425</v>
      </c>
      <c r="BG141" s="184">
        <v>25171520</v>
      </c>
      <c r="BH141" s="184">
        <v>893875</v>
      </c>
      <c r="BI141" s="184">
        <v>1859260</v>
      </c>
      <c r="BJ141" s="187" t="s">
        <v>200</v>
      </c>
    </row>
    <row r="142" spans="2:62" x14ac:dyDescent="0.2">
      <c r="B142" s="175">
        <v>45800</v>
      </c>
      <c r="C142" s="176">
        <v>45800.459150740739</v>
      </c>
      <c r="D142" s="177" t="s">
        <v>271</v>
      </c>
      <c r="E142" s="178" t="s">
        <v>268</v>
      </c>
      <c r="F142" s="179" t="s">
        <v>269</v>
      </c>
      <c r="G142" s="180">
        <v>71.11</v>
      </c>
      <c r="H142" s="181">
        <v>63</v>
      </c>
      <c r="I142" s="181">
        <v>85</v>
      </c>
      <c r="J142" s="181">
        <v>71.239999999999995</v>
      </c>
      <c r="K142" s="182">
        <v>70.95</v>
      </c>
      <c r="L142" s="183">
        <v>1607000</v>
      </c>
      <c r="M142" s="184">
        <v>3569500</v>
      </c>
      <c r="N142" s="184">
        <v>102</v>
      </c>
      <c r="O142" s="184">
        <v>31</v>
      </c>
      <c r="P142" s="181">
        <v>4.6399999999999997</v>
      </c>
      <c r="Q142" s="184">
        <v>34995</v>
      </c>
      <c r="R142" s="184">
        <v>162250</v>
      </c>
      <c r="S142" s="184">
        <v>154847</v>
      </c>
      <c r="T142" s="184">
        <v>107133</v>
      </c>
      <c r="U142" s="184">
        <v>113430</v>
      </c>
      <c r="V142" s="182">
        <v>2.2200000000000002</v>
      </c>
      <c r="W142" s="183">
        <v>22</v>
      </c>
      <c r="X142" s="185">
        <v>15</v>
      </c>
      <c r="Y142" s="183">
        <v>114273770</v>
      </c>
      <c r="Z142" s="179" t="s">
        <v>272</v>
      </c>
      <c r="AA142" s="186" t="s">
        <v>200</v>
      </c>
      <c r="AB142" s="177" t="s">
        <v>200</v>
      </c>
      <c r="AC142" s="177" t="s">
        <v>200</v>
      </c>
      <c r="AD142" s="177" t="s">
        <v>200</v>
      </c>
      <c r="AE142" s="177" t="s">
        <v>200</v>
      </c>
      <c r="AF142" s="184">
        <v>114273770</v>
      </c>
      <c r="AG142" s="177" t="s">
        <v>200</v>
      </c>
      <c r="AH142" s="177" t="s">
        <v>200</v>
      </c>
      <c r="AI142" s="177" t="s">
        <v>200</v>
      </c>
      <c r="AJ142" s="177" t="s">
        <v>200</v>
      </c>
      <c r="AK142" s="177" t="s">
        <v>200</v>
      </c>
      <c r="AL142" s="177" t="s">
        <v>200</v>
      </c>
      <c r="AM142" s="177" t="s">
        <v>200</v>
      </c>
      <c r="AN142" s="177" t="s">
        <v>200</v>
      </c>
      <c r="AO142" s="177" t="s">
        <v>200</v>
      </c>
      <c r="AP142" s="177" t="s">
        <v>200</v>
      </c>
      <c r="AQ142" s="177" t="s">
        <v>200</v>
      </c>
      <c r="AR142" s="177" t="s">
        <v>200</v>
      </c>
      <c r="AS142" s="177" t="s">
        <v>200</v>
      </c>
      <c r="AT142" s="177" t="s">
        <v>200</v>
      </c>
      <c r="AU142" s="177" t="s">
        <v>200</v>
      </c>
      <c r="AV142" s="177" t="s">
        <v>200</v>
      </c>
      <c r="AW142" s="177" t="s">
        <v>200</v>
      </c>
      <c r="AX142" s="177" t="s">
        <v>200</v>
      </c>
      <c r="AY142" s="177" t="s">
        <v>200</v>
      </c>
      <c r="AZ142" s="177" t="s">
        <v>200</v>
      </c>
      <c r="BA142" s="177" t="s">
        <v>200</v>
      </c>
      <c r="BB142" s="177" t="s">
        <v>200</v>
      </c>
      <c r="BC142" s="177" t="s">
        <v>200</v>
      </c>
      <c r="BD142" s="177" t="s">
        <v>200</v>
      </c>
      <c r="BE142" s="177" t="s">
        <v>200</v>
      </c>
      <c r="BF142" s="177" t="s">
        <v>200</v>
      </c>
      <c r="BG142" s="177" t="s">
        <v>200</v>
      </c>
      <c r="BH142" s="177" t="s">
        <v>200</v>
      </c>
      <c r="BI142" s="177" t="s">
        <v>200</v>
      </c>
      <c r="BJ142" s="187" t="s">
        <v>200</v>
      </c>
    </row>
    <row r="143" spans="2:62" x14ac:dyDescent="0.2">
      <c r="B143" s="175">
        <v>45799</v>
      </c>
      <c r="C143" s="176">
        <v>45799.458741458337</v>
      </c>
      <c r="D143" s="177" t="s">
        <v>267</v>
      </c>
      <c r="E143" s="178" t="s">
        <v>268</v>
      </c>
      <c r="F143" s="179" t="s">
        <v>269</v>
      </c>
      <c r="G143" s="180">
        <v>71.84</v>
      </c>
      <c r="H143" s="181">
        <v>62.5</v>
      </c>
      <c r="I143" s="181">
        <v>80</v>
      </c>
      <c r="J143" s="181">
        <v>71.52</v>
      </c>
      <c r="K143" s="182">
        <v>71.53</v>
      </c>
      <c r="L143" s="183">
        <v>3245500</v>
      </c>
      <c r="M143" s="184">
        <v>5589500</v>
      </c>
      <c r="N143" s="184">
        <v>104</v>
      </c>
      <c r="O143" s="184">
        <v>32</v>
      </c>
      <c r="P143" s="181">
        <v>4.16</v>
      </c>
      <c r="Q143" s="184">
        <v>53745</v>
      </c>
      <c r="R143" s="184">
        <v>223580</v>
      </c>
      <c r="S143" s="184">
        <v>293183</v>
      </c>
      <c r="T143" s="184">
        <v>190912</v>
      </c>
      <c r="U143" s="184">
        <v>281746</v>
      </c>
      <c r="V143" s="182">
        <v>1.72</v>
      </c>
      <c r="W143" s="183">
        <v>25</v>
      </c>
      <c r="X143" s="185">
        <v>17</v>
      </c>
      <c r="Y143" s="183">
        <v>233156720</v>
      </c>
      <c r="Z143" s="179" t="s">
        <v>270</v>
      </c>
      <c r="AA143" s="183">
        <v>2083360</v>
      </c>
      <c r="AB143" s="184">
        <v>3592000</v>
      </c>
      <c r="AC143" s="184">
        <v>5711280</v>
      </c>
      <c r="AD143" s="184">
        <v>754320</v>
      </c>
      <c r="AE143" s="184">
        <v>3879360</v>
      </c>
      <c r="AF143" s="177" t="s">
        <v>200</v>
      </c>
      <c r="AG143" s="184">
        <v>2011520</v>
      </c>
      <c r="AH143" s="184">
        <v>1760080</v>
      </c>
      <c r="AI143" s="184">
        <v>7830560</v>
      </c>
      <c r="AJ143" s="184">
        <v>17852240</v>
      </c>
      <c r="AK143" s="184">
        <v>2801760</v>
      </c>
      <c r="AL143" s="184">
        <v>10596400</v>
      </c>
      <c r="AM143" s="184">
        <v>790240</v>
      </c>
      <c r="AN143" s="184">
        <v>3017280</v>
      </c>
      <c r="AO143" s="184">
        <v>862080</v>
      </c>
      <c r="AP143" s="184">
        <v>17924080</v>
      </c>
      <c r="AQ143" s="184">
        <v>35920</v>
      </c>
      <c r="AR143" s="184">
        <v>17852240</v>
      </c>
      <c r="AS143" s="184">
        <v>26293440</v>
      </c>
      <c r="AT143" s="184">
        <v>0</v>
      </c>
      <c r="AU143" s="184">
        <v>574720</v>
      </c>
      <c r="AV143" s="184">
        <v>0</v>
      </c>
      <c r="AW143" s="184">
        <v>431040</v>
      </c>
      <c r="AX143" s="184">
        <v>44684480</v>
      </c>
      <c r="AY143" s="184">
        <v>359200</v>
      </c>
      <c r="AZ143" s="184">
        <v>17528960</v>
      </c>
      <c r="BA143" s="184">
        <v>6321920</v>
      </c>
      <c r="BB143" s="184">
        <v>1364960</v>
      </c>
      <c r="BC143" s="177" t="s">
        <v>200</v>
      </c>
      <c r="BD143" s="184">
        <v>3735680</v>
      </c>
      <c r="BE143" s="184">
        <v>3196880</v>
      </c>
      <c r="BF143" s="184">
        <v>1257200</v>
      </c>
      <c r="BG143" s="184">
        <v>25287680</v>
      </c>
      <c r="BH143" s="184">
        <v>898000</v>
      </c>
      <c r="BI143" s="184">
        <v>1867840</v>
      </c>
      <c r="BJ143" s="187" t="s">
        <v>200</v>
      </c>
    </row>
    <row r="144" spans="2:62" x14ac:dyDescent="0.2">
      <c r="B144" s="175">
        <v>45797</v>
      </c>
      <c r="C144" s="176">
        <v>45797.458596493052</v>
      </c>
      <c r="D144" s="177" t="s">
        <v>267</v>
      </c>
      <c r="E144" s="178" t="s">
        <v>268</v>
      </c>
      <c r="F144" s="179" t="s">
        <v>269</v>
      </c>
      <c r="G144" s="180">
        <v>70.69</v>
      </c>
      <c r="H144" s="181">
        <v>62</v>
      </c>
      <c r="I144" s="181">
        <v>85</v>
      </c>
      <c r="J144" s="181">
        <v>70.709999999999994</v>
      </c>
      <c r="K144" s="182">
        <v>70.61</v>
      </c>
      <c r="L144" s="183">
        <v>3245500</v>
      </c>
      <c r="M144" s="184">
        <v>4520000</v>
      </c>
      <c r="N144" s="184">
        <v>110</v>
      </c>
      <c r="O144" s="184">
        <v>47</v>
      </c>
      <c r="P144" s="181">
        <v>4.78</v>
      </c>
      <c r="Q144" s="184">
        <v>41091</v>
      </c>
      <c r="R144" s="184">
        <v>196522</v>
      </c>
      <c r="S144" s="184">
        <v>276427</v>
      </c>
      <c r="T144" s="184">
        <v>170816</v>
      </c>
      <c r="U144" s="184">
        <v>272142</v>
      </c>
      <c r="V144" s="182">
        <v>1.39</v>
      </c>
      <c r="W144" s="183">
        <v>23</v>
      </c>
      <c r="X144" s="185">
        <v>19</v>
      </c>
      <c r="Y144" s="183">
        <v>229424395</v>
      </c>
      <c r="Z144" s="179" t="s">
        <v>270</v>
      </c>
      <c r="AA144" s="183">
        <v>2050010</v>
      </c>
      <c r="AB144" s="184">
        <v>3534500</v>
      </c>
      <c r="AC144" s="184">
        <v>5619855</v>
      </c>
      <c r="AD144" s="184">
        <v>742245</v>
      </c>
      <c r="AE144" s="184">
        <v>3817260</v>
      </c>
      <c r="AF144" s="177" t="s">
        <v>200</v>
      </c>
      <c r="AG144" s="184">
        <v>1979320</v>
      </c>
      <c r="AH144" s="184">
        <v>1731905</v>
      </c>
      <c r="AI144" s="184">
        <v>7705210</v>
      </c>
      <c r="AJ144" s="184">
        <v>17566465</v>
      </c>
      <c r="AK144" s="184">
        <v>2756910</v>
      </c>
      <c r="AL144" s="184">
        <v>10426775</v>
      </c>
      <c r="AM144" s="184">
        <v>777590</v>
      </c>
      <c r="AN144" s="184">
        <v>2968980</v>
      </c>
      <c r="AO144" s="184">
        <v>848280</v>
      </c>
      <c r="AP144" s="184">
        <v>17637155</v>
      </c>
      <c r="AQ144" s="184">
        <v>35345</v>
      </c>
      <c r="AR144" s="184">
        <v>17566465</v>
      </c>
      <c r="AS144" s="184">
        <v>25872540</v>
      </c>
      <c r="AT144" s="184">
        <v>0</v>
      </c>
      <c r="AU144" s="184">
        <v>565520</v>
      </c>
      <c r="AV144" s="184">
        <v>0</v>
      </c>
      <c r="AW144" s="184">
        <v>424140</v>
      </c>
      <c r="AX144" s="184">
        <v>43969180</v>
      </c>
      <c r="AY144" s="184">
        <v>353450</v>
      </c>
      <c r="AZ144" s="184">
        <v>17248360</v>
      </c>
      <c r="BA144" s="184">
        <v>6220720</v>
      </c>
      <c r="BB144" s="184">
        <v>1343110</v>
      </c>
      <c r="BC144" s="177" t="s">
        <v>200</v>
      </c>
      <c r="BD144" s="184">
        <v>3675880</v>
      </c>
      <c r="BE144" s="184">
        <v>3145705</v>
      </c>
      <c r="BF144" s="184">
        <v>1237075</v>
      </c>
      <c r="BG144" s="184">
        <v>24882880</v>
      </c>
      <c r="BH144" s="184">
        <v>883625</v>
      </c>
      <c r="BI144" s="184">
        <v>1837940</v>
      </c>
      <c r="BJ144" s="187" t="s">
        <v>200</v>
      </c>
    </row>
    <row r="145" spans="2:62" x14ac:dyDescent="0.2">
      <c r="B145" s="175">
        <v>45796</v>
      </c>
      <c r="C145" s="176">
        <v>45796.458650451386</v>
      </c>
      <c r="D145" s="177" t="s">
        <v>267</v>
      </c>
      <c r="E145" s="178" t="s">
        <v>268</v>
      </c>
      <c r="F145" s="179" t="s">
        <v>269</v>
      </c>
      <c r="G145" s="180">
        <v>69.44</v>
      </c>
      <c r="H145" s="181">
        <v>63</v>
      </c>
      <c r="I145" s="181">
        <v>81.739999999999995</v>
      </c>
      <c r="J145" s="181">
        <v>70.09</v>
      </c>
      <c r="K145" s="182">
        <v>69.400000000000006</v>
      </c>
      <c r="L145" s="183">
        <v>3245500</v>
      </c>
      <c r="M145" s="184">
        <v>4188000</v>
      </c>
      <c r="N145" s="184">
        <v>103</v>
      </c>
      <c r="O145" s="184">
        <v>48</v>
      </c>
      <c r="P145" s="181">
        <v>4.29</v>
      </c>
      <c r="Q145" s="184">
        <v>40660</v>
      </c>
      <c r="R145" s="184">
        <v>174500</v>
      </c>
      <c r="S145" s="184">
        <v>234588</v>
      </c>
      <c r="T145" s="184">
        <v>162275</v>
      </c>
      <c r="U145" s="184">
        <v>238580</v>
      </c>
      <c r="V145" s="182">
        <v>1.29</v>
      </c>
      <c r="W145" s="183">
        <v>24</v>
      </c>
      <c r="X145" s="185">
        <v>20</v>
      </c>
      <c r="Y145" s="183">
        <v>225367520</v>
      </c>
      <c r="Z145" s="179" t="s">
        <v>270</v>
      </c>
      <c r="AA145" s="183">
        <v>2013760</v>
      </c>
      <c r="AB145" s="184">
        <v>3472000</v>
      </c>
      <c r="AC145" s="184">
        <v>5520480</v>
      </c>
      <c r="AD145" s="184">
        <v>729120</v>
      </c>
      <c r="AE145" s="184">
        <v>3749760</v>
      </c>
      <c r="AF145" s="177" t="s">
        <v>200</v>
      </c>
      <c r="AG145" s="184">
        <v>1944320</v>
      </c>
      <c r="AH145" s="184">
        <v>1701280</v>
      </c>
      <c r="AI145" s="184">
        <v>7568960</v>
      </c>
      <c r="AJ145" s="184">
        <v>17255840</v>
      </c>
      <c r="AK145" s="184">
        <v>2708160</v>
      </c>
      <c r="AL145" s="184">
        <v>10242400</v>
      </c>
      <c r="AM145" s="184">
        <v>763840</v>
      </c>
      <c r="AN145" s="184">
        <v>2916480</v>
      </c>
      <c r="AO145" s="184">
        <v>833280</v>
      </c>
      <c r="AP145" s="184">
        <v>17325280</v>
      </c>
      <c r="AQ145" s="184">
        <v>34720</v>
      </c>
      <c r="AR145" s="184">
        <v>17255840</v>
      </c>
      <c r="AS145" s="184">
        <v>25415040</v>
      </c>
      <c r="AT145" s="184">
        <v>0</v>
      </c>
      <c r="AU145" s="184">
        <v>555520</v>
      </c>
      <c r="AV145" s="184">
        <v>0</v>
      </c>
      <c r="AW145" s="184">
        <v>416640</v>
      </c>
      <c r="AX145" s="184">
        <v>43191680</v>
      </c>
      <c r="AY145" s="184">
        <v>347200</v>
      </c>
      <c r="AZ145" s="184">
        <v>16943360</v>
      </c>
      <c r="BA145" s="184">
        <v>6110720</v>
      </c>
      <c r="BB145" s="184">
        <v>1319360</v>
      </c>
      <c r="BC145" s="177" t="s">
        <v>200</v>
      </c>
      <c r="BD145" s="184">
        <v>3610880</v>
      </c>
      <c r="BE145" s="184">
        <v>3090080</v>
      </c>
      <c r="BF145" s="184">
        <v>1215200</v>
      </c>
      <c r="BG145" s="184">
        <v>24442880</v>
      </c>
      <c r="BH145" s="184">
        <v>868000</v>
      </c>
      <c r="BI145" s="184">
        <v>1805440</v>
      </c>
      <c r="BJ145" s="187" t="s">
        <v>200</v>
      </c>
    </row>
    <row r="146" spans="2:62" x14ac:dyDescent="0.2">
      <c r="B146" s="175">
        <v>45793</v>
      </c>
      <c r="C146" s="176">
        <v>45793.45868009259</v>
      </c>
      <c r="D146" s="177" t="s">
        <v>271</v>
      </c>
      <c r="E146" s="178" t="s">
        <v>268</v>
      </c>
      <c r="F146" s="179" t="s">
        <v>269</v>
      </c>
      <c r="G146" s="180">
        <v>72.94</v>
      </c>
      <c r="H146" s="181">
        <v>61.5</v>
      </c>
      <c r="I146" s="181">
        <v>85</v>
      </c>
      <c r="J146" s="181">
        <v>72.83</v>
      </c>
      <c r="K146" s="182">
        <v>72.83</v>
      </c>
      <c r="L146" s="183">
        <v>1607000</v>
      </c>
      <c r="M146" s="184">
        <v>3074000</v>
      </c>
      <c r="N146" s="184">
        <v>89</v>
      </c>
      <c r="O146" s="184">
        <v>34</v>
      </c>
      <c r="P146" s="181">
        <v>4.45</v>
      </c>
      <c r="Q146" s="184">
        <v>34539</v>
      </c>
      <c r="R146" s="184">
        <v>153700</v>
      </c>
      <c r="S146" s="184">
        <v>148291</v>
      </c>
      <c r="T146" s="184">
        <v>100438</v>
      </c>
      <c r="U146" s="184">
        <v>133422</v>
      </c>
      <c r="V146" s="182">
        <v>1.91</v>
      </c>
      <c r="W146" s="183">
        <v>20</v>
      </c>
      <c r="X146" s="185">
        <v>16</v>
      </c>
      <c r="Y146" s="183">
        <v>117214580</v>
      </c>
      <c r="Z146" s="179" t="s">
        <v>272</v>
      </c>
      <c r="AA146" s="186" t="s">
        <v>200</v>
      </c>
      <c r="AB146" s="177" t="s">
        <v>200</v>
      </c>
      <c r="AC146" s="177" t="s">
        <v>200</v>
      </c>
      <c r="AD146" s="177" t="s">
        <v>200</v>
      </c>
      <c r="AE146" s="177" t="s">
        <v>200</v>
      </c>
      <c r="AF146" s="184">
        <v>117214580</v>
      </c>
      <c r="AG146" s="177" t="s">
        <v>200</v>
      </c>
      <c r="AH146" s="177" t="s">
        <v>200</v>
      </c>
      <c r="AI146" s="177" t="s">
        <v>200</v>
      </c>
      <c r="AJ146" s="177" t="s">
        <v>200</v>
      </c>
      <c r="AK146" s="177" t="s">
        <v>200</v>
      </c>
      <c r="AL146" s="177" t="s">
        <v>200</v>
      </c>
      <c r="AM146" s="177" t="s">
        <v>200</v>
      </c>
      <c r="AN146" s="177" t="s">
        <v>200</v>
      </c>
      <c r="AO146" s="177" t="s">
        <v>200</v>
      </c>
      <c r="AP146" s="177" t="s">
        <v>200</v>
      </c>
      <c r="AQ146" s="177" t="s">
        <v>200</v>
      </c>
      <c r="AR146" s="177" t="s">
        <v>200</v>
      </c>
      <c r="AS146" s="177" t="s">
        <v>200</v>
      </c>
      <c r="AT146" s="177" t="s">
        <v>200</v>
      </c>
      <c r="AU146" s="177" t="s">
        <v>200</v>
      </c>
      <c r="AV146" s="177" t="s">
        <v>200</v>
      </c>
      <c r="AW146" s="177" t="s">
        <v>200</v>
      </c>
      <c r="AX146" s="177" t="s">
        <v>200</v>
      </c>
      <c r="AY146" s="177" t="s">
        <v>200</v>
      </c>
      <c r="AZ146" s="177" t="s">
        <v>200</v>
      </c>
      <c r="BA146" s="177" t="s">
        <v>200</v>
      </c>
      <c r="BB146" s="177" t="s">
        <v>200</v>
      </c>
      <c r="BC146" s="177" t="s">
        <v>200</v>
      </c>
      <c r="BD146" s="177" t="s">
        <v>200</v>
      </c>
      <c r="BE146" s="177" t="s">
        <v>200</v>
      </c>
      <c r="BF146" s="177" t="s">
        <v>200</v>
      </c>
      <c r="BG146" s="177" t="s">
        <v>200</v>
      </c>
      <c r="BH146" s="177" t="s">
        <v>200</v>
      </c>
      <c r="BI146" s="177" t="s">
        <v>200</v>
      </c>
      <c r="BJ146" s="187" t="s">
        <v>200</v>
      </c>
    </row>
    <row r="147" spans="2:62" x14ac:dyDescent="0.2">
      <c r="B147" s="175">
        <v>45792</v>
      </c>
      <c r="C147" s="176">
        <v>45792.458758356479</v>
      </c>
      <c r="D147" s="177" t="s">
        <v>267</v>
      </c>
      <c r="E147" s="178" t="s">
        <v>268</v>
      </c>
      <c r="F147" s="179" t="s">
        <v>269</v>
      </c>
      <c r="G147" s="180">
        <v>70.11</v>
      </c>
      <c r="H147" s="181">
        <v>63</v>
      </c>
      <c r="I147" s="181">
        <v>80</v>
      </c>
      <c r="J147" s="181">
        <v>70.19</v>
      </c>
      <c r="K147" s="182">
        <v>69.95</v>
      </c>
      <c r="L147" s="183">
        <v>3245500</v>
      </c>
      <c r="M147" s="184">
        <v>5552500</v>
      </c>
      <c r="N147" s="184">
        <v>113</v>
      </c>
      <c r="O147" s="184">
        <v>33</v>
      </c>
      <c r="P147" s="181">
        <v>4.1900000000000004</v>
      </c>
      <c r="Q147" s="184">
        <v>49137</v>
      </c>
      <c r="R147" s="184">
        <v>205648</v>
      </c>
      <c r="S147" s="184">
        <v>259720</v>
      </c>
      <c r="T147" s="184">
        <v>170816</v>
      </c>
      <c r="U147" s="184">
        <v>257998</v>
      </c>
      <c r="V147" s="182">
        <v>1.71</v>
      </c>
      <c r="W147" s="183">
        <v>27</v>
      </c>
      <c r="X147" s="185">
        <v>19</v>
      </c>
      <c r="Y147" s="183">
        <v>227542005</v>
      </c>
      <c r="Z147" s="179" t="s">
        <v>270</v>
      </c>
      <c r="AA147" s="183">
        <v>2033190</v>
      </c>
      <c r="AB147" s="184">
        <v>3505500</v>
      </c>
      <c r="AC147" s="184">
        <v>5573745</v>
      </c>
      <c r="AD147" s="184">
        <v>736155</v>
      </c>
      <c r="AE147" s="184">
        <v>3785940</v>
      </c>
      <c r="AF147" s="177" t="s">
        <v>200</v>
      </c>
      <c r="AG147" s="184">
        <v>1963080</v>
      </c>
      <c r="AH147" s="184">
        <v>1717695</v>
      </c>
      <c r="AI147" s="184">
        <v>7641990</v>
      </c>
      <c r="AJ147" s="184">
        <v>17422335</v>
      </c>
      <c r="AK147" s="184">
        <v>2734290</v>
      </c>
      <c r="AL147" s="184">
        <v>10341225</v>
      </c>
      <c r="AM147" s="184">
        <v>771210</v>
      </c>
      <c r="AN147" s="184">
        <v>2944620</v>
      </c>
      <c r="AO147" s="184">
        <v>841320</v>
      </c>
      <c r="AP147" s="184">
        <v>17492445</v>
      </c>
      <c r="AQ147" s="184">
        <v>35055</v>
      </c>
      <c r="AR147" s="184">
        <v>17422335</v>
      </c>
      <c r="AS147" s="184">
        <v>25660260</v>
      </c>
      <c r="AT147" s="184">
        <v>0</v>
      </c>
      <c r="AU147" s="184">
        <v>560880</v>
      </c>
      <c r="AV147" s="184">
        <v>0</v>
      </c>
      <c r="AW147" s="184">
        <v>420660</v>
      </c>
      <c r="AX147" s="184">
        <v>43608420</v>
      </c>
      <c r="AY147" s="184">
        <v>350550</v>
      </c>
      <c r="AZ147" s="184">
        <v>17106840</v>
      </c>
      <c r="BA147" s="184">
        <v>6169680</v>
      </c>
      <c r="BB147" s="184">
        <v>1332090</v>
      </c>
      <c r="BC147" s="177" t="s">
        <v>200</v>
      </c>
      <c r="BD147" s="184">
        <v>3645720</v>
      </c>
      <c r="BE147" s="184">
        <v>3119895</v>
      </c>
      <c r="BF147" s="184">
        <v>1226925</v>
      </c>
      <c r="BG147" s="184">
        <v>24678720</v>
      </c>
      <c r="BH147" s="184">
        <v>876375</v>
      </c>
      <c r="BI147" s="184">
        <v>1822860</v>
      </c>
      <c r="BJ147" s="187" t="s">
        <v>200</v>
      </c>
    </row>
    <row r="148" spans="2:62" x14ac:dyDescent="0.2">
      <c r="B148" s="175">
        <v>45791</v>
      </c>
      <c r="C148" s="176">
        <v>45791.458536620368</v>
      </c>
      <c r="D148" s="177" t="s">
        <v>273</v>
      </c>
      <c r="E148" s="178" t="s">
        <v>268</v>
      </c>
      <c r="F148" s="179" t="s">
        <v>269</v>
      </c>
      <c r="G148" s="180">
        <v>71.849999999999994</v>
      </c>
      <c r="H148" s="181">
        <v>62</v>
      </c>
      <c r="I148" s="181">
        <v>85</v>
      </c>
      <c r="J148" s="181">
        <v>71.7</v>
      </c>
      <c r="K148" s="182">
        <v>71.58</v>
      </c>
      <c r="L148" s="183">
        <v>2072500</v>
      </c>
      <c r="M148" s="184">
        <v>3769500</v>
      </c>
      <c r="N148" s="184">
        <v>111</v>
      </c>
      <c r="O148" s="184">
        <v>29</v>
      </c>
      <c r="P148" s="181">
        <v>4.2699999999999996</v>
      </c>
      <c r="Q148" s="184">
        <v>33959</v>
      </c>
      <c r="R148" s="184">
        <v>144981</v>
      </c>
      <c r="S148" s="184">
        <v>182047</v>
      </c>
      <c r="T148" s="184">
        <v>129531</v>
      </c>
      <c r="U148" s="184">
        <v>180723</v>
      </c>
      <c r="V148" s="182">
        <v>1.82</v>
      </c>
      <c r="W148" s="183">
        <v>26</v>
      </c>
      <c r="X148" s="185">
        <v>16</v>
      </c>
      <c r="Y148" s="183">
        <v>148909125</v>
      </c>
      <c r="Z148" s="179" t="s">
        <v>274</v>
      </c>
      <c r="AA148" s="186" t="s">
        <v>200</v>
      </c>
      <c r="AB148" s="177" t="s">
        <v>200</v>
      </c>
      <c r="AC148" s="177" t="s">
        <v>200</v>
      </c>
      <c r="AD148" s="177" t="s">
        <v>200</v>
      </c>
      <c r="AE148" s="177" t="s">
        <v>200</v>
      </c>
      <c r="AF148" s="177" t="s">
        <v>200</v>
      </c>
      <c r="AG148" s="177" t="s">
        <v>200</v>
      </c>
      <c r="AH148" s="177" t="s">
        <v>200</v>
      </c>
      <c r="AI148" s="177" t="s">
        <v>200</v>
      </c>
      <c r="AJ148" s="177" t="s">
        <v>200</v>
      </c>
      <c r="AK148" s="177" t="s">
        <v>200</v>
      </c>
      <c r="AL148" s="177" t="s">
        <v>200</v>
      </c>
      <c r="AM148" s="177" t="s">
        <v>200</v>
      </c>
      <c r="AN148" s="177" t="s">
        <v>200</v>
      </c>
      <c r="AO148" s="177" t="s">
        <v>200</v>
      </c>
      <c r="AP148" s="177" t="s">
        <v>200</v>
      </c>
      <c r="AQ148" s="177" t="s">
        <v>200</v>
      </c>
      <c r="AR148" s="177" t="s">
        <v>200</v>
      </c>
      <c r="AS148" s="177" t="s">
        <v>200</v>
      </c>
      <c r="AT148" s="177" t="s">
        <v>200</v>
      </c>
      <c r="AU148" s="177" t="s">
        <v>200</v>
      </c>
      <c r="AV148" s="177" t="s">
        <v>200</v>
      </c>
      <c r="AW148" s="177" t="s">
        <v>200</v>
      </c>
      <c r="AX148" s="177" t="s">
        <v>200</v>
      </c>
      <c r="AY148" s="177" t="s">
        <v>200</v>
      </c>
      <c r="AZ148" s="177" t="s">
        <v>200</v>
      </c>
      <c r="BA148" s="177" t="s">
        <v>200</v>
      </c>
      <c r="BB148" s="177" t="s">
        <v>200</v>
      </c>
      <c r="BC148" s="184">
        <v>148909125</v>
      </c>
      <c r="BD148" s="177" t="s">
        <v>200</v>
      </c>
      <c r="BE148" s="177" t="s">
        <v>200</v>
      </c>
      <c r="BF148" s="177" t="s">
        <v>200</v>
      </c>
      <c r="BG148" s="177" t="s">
        <v>200</v>
      </c>
      <c r="BH148" s="177" t="s">
        <v>200</v>
      </c>
      <c r="BI148" s="177" t="s">
        <v>200</v>
      </c>
      <c r="BJ148" s="187" t="s">
        <v>200</v>
      </c>
    </row>
    <row r="149" spans="2:62" x14ac:dyDescent="0.2">
      <c r="B149" s="175">
        <v>45790</v>
      </c>
      <c r="C149" s="176">
        <v>45790.458730810184</v>
      </c>
      <c r="D149" s="177" t="s">
        <v>267</v>
      </c>
      <c r="E149" s="178" t="s">
        <v>268</v>
      </c>
      <c r="F149" s="179" t="s">
        <v>269</v>
      </c>
      <c r="G149" s="180">
        <v>71.69</v>
      </c>
      <c r="H149" s="181">
        <v>62</v>
      </c>
      <c r="I149" s="181">
        <v>83.15</v>
      </c>
      <c r="J149" s="181">
        <v>71.69</v>
      </c>
      <c r="K149" s="182">
        <v>71.680000000000007</v>
      </c>
      <c r="L149" s="183">
        <v>3245500</v>
      </c>
      <c r="M149" s="184">
        <v>4547000</v>
      </c>
      <c r="N149" s="184">
        <v>99</v>
      </c>
      <c r="O149" s="184">
        <v>49</v>
      </c>
      <c r="P149" s="181">
        <v>4.3</v>
      </c>
      <c r="Q149" s="184">
        <v>45929</v>
      </c>
      <c r="R149" s="184">
        <v>197696</v>
      </c>
      <c r="S149" s="184">
        <v>299577</v>
      </c>
      <c r="T149" s="184">
        <v>147523</v>
      </c>
      <c r="U149" s="184">
        <v>282820</v>
      </c>
      <c r="V149" s="182">
        <v>1.4</v>
      </c>
      <c r="W149" s="183">
        <v>23</v>
      </c>
      <c r="X149" s="185">
        <v>22</v>
      </c>
      <c r="Y149" s="183">
        <v>232669895</v>
      </c>
      <c r="Z149" s="179" t="s">
        <v>270</v>
      </c>
      <c r="AA149" s="183">
        <v>2079010</v>
      </c>
      <c r="AB149" s="184">
        <v>3584500</v>
      </c>
      <c r="AC149" s="184">
        <v>5699355</v>
      </c>
      <c r="AD149" s="184">
        <v>752745</v>
      </c>
      <c r="AE149" s="184">
        <v>3871260</v>
      </c>
      <c r="AF149" s="177" t="s">
        <v>200</v>
      </c>
      <c r="AG149" s="184">
        <v>2007320</v>
      </c>
      <c r="AH149" s="184">
        <v>1756405</v>
      </c>
      <c r="AI149" s="184">
        <v>7814210</v>
      </c>
      <c r="AJ149" s="184">
        <v>17814965</v>
      </c>
      <c r="AK149" s="184">
        <v>2795910</v>
      </c>
      <c r="AL149" s="184">
        <v>10574275</v>
      </c>
      <c r="AM149" s="184">
        <v>788590</v>
      </c>
      <c r="AN149" s="184">
        <v>3010980</v>
      </c>
      <c r="AO149" s="184">
        <v>860280</v>
      </c>
      <c r="AP149" s="184">
        <v>17886655</v>
      </c>
      <c r="AQ149" s="184">
        <v>35845</v>
      </c>
      <c r="AR149" s="184">
        <v>17814965</v>
      </c>
      <c r="AS149" s="184">
        <v>26238540</v>
      </c>
      <c r="AT149" s="184">
        <v>0</v>
      </c>
      <c r="AU149" s="184">
        <v>573520</v>
      </c>
      <c r="AV149" s="184">
        <v>0</v>
      </c>
      <c r="AW149" s="184">
        <v>430140</v>
      </c>
      <c r="AX149" s="184">
        <v>44591180</v>
      </c>
      <c r="AY149" s="184">
        <v>358450</v>
      </c>
      <c r="AZ149" s="184">
        <v>17492360</v>
      </c>
      <c r="BA149" s="184">
        <v>6308720</v>
      </c>
      <c r="BB149" s="184">
        <v>1362110</v>
      </c>
      <c r="BC149" s="177" t="s">
        <v>200</v>
      </c>
      <c r="BD149" s="184">
        <v>3727880</v>
      </c>
      <c r="BE149" s="184">
        <v>3190205</v>
      </c>
      <c r="BF149" s="184">
        <v>1254575</v>
      </c>
      <c r="BG149" s="184">
        <v>25234880</v>
      </c>
      <c r="BH149" s="184">
        <v>896125</v>
      </c>
      <c r="BI149" s="184">
        <v>1863940</v>
      </c>
      <c r="BJ149" s="187" t="s">
        <v>200</v>
      </c>
    </row>
    <row r="150" spans="2:62" x14ac:dyDescent="0.2">
      <c r="B150" s="175">
        <v>45789</v>
      </c>
      <c r="C150" s="176">
        <v>45789.458700243056</v>
      </c>
      <c r="D150" s="177" t="s">
        <v>267</v>
      </c>
      <c r="E150" s="178" t="s">
        <v>268</v>
      </c>
      <c r="F150" s="179" t="s">
        <v>269</v>
      </c>
      <c r="G150" s="180">
        <v>71.010000000000005</v>
      </c>
      <c r="H150" s="181">
        <v>60</v>
      </c>
      <c r="I150" s="181">
        <v>74.2</v>
      </c>
      <c r="J150" s="181">
        <v>70.709999999999994</v>
      </c>
      <c r="K150" s="182">
        <v>70.819999999999993</v>
      </c>
      <c r="L150" s="183">
        <v>3245500</v>
      </c>
      <c r="M150" s="184">
        <v>5067000</v>
      </c>
      <c r="N150" s="184">
        <v>101</v>
      </c>
      <c r="O150" s="184">
        <v>35</v>
      </c>
      <c r="P150" s="181">
        <v>4.21</v>
      </c>
      <c r="Q150" s="184">
        <v>50168</v>
      </c>
      <c r="R150" s="184">
        <v>211125</v>
      </c>
      <c r="S150" s="184">
        <v>258037</v>
      </c>
      <c r="T150" s="184">
        <v>180306</v>
      </c>
      <c r="U150" s="184">
        <v>237803</v>
      </c>
      <c r="V150" s="182">
        <v>1.56</v>
      </c>
      <c r="W150" s="183">
        <v>24</v>
      </c>
      <c r="X150" s="185">
        <v>18</v>
      </c>
      <c r="Y150" s="183">
        <v>230462955</v>
      </c>
      <c r="Z150" s="179" t="s">
        <v>270</v>
      </c>
      <c r="AA150" s="183">
        <v>2059290</v>
      </c>
      <c r="AB150" s="184">
        <v>3550500</v>
      </c>
      <c r="AC150" s="184">
        <v>5645295</v>
      </c>
      <c r="AD150" s="184">
        <v>745605</v>
      </c>
      <c r="AE150" s="184">
        <v>3834540</v>
      </c>
      <c r="AF150" s="177" t="s">
        <v>200</v>
      </c>
      <c r="AG150" s="184">
        <v>1988280</v>
      </c>
      <c r="AH150" s="184">
        <v>1739745</v>
      </c>
      <c r="AI150" s="184">
        <v>7740090</v>
      </c>
      <c r="AJ150" s="184">
        <v>17645985</v>
      </c>
      <c r="AK150" s="184">
        <v>2769390</v>
      </c>
      <c r="AL150" s="184">
        <v>10473975</v>
      </c>
      <c r="AM150" s="184">
        <v>781110</v>
      </c>
      <c r="AN150" s="184">
        <v>2982420</v>
      </c>
      <c r="AO150" s="184">
        <v>852120</v>
      </c>
      <c r="AP150" s="184">
        <v>17716995</v>
      </c>
      <c r="AQ150" s="184">
        <v>35505</v>
      </c>
      <c r="AR150" s="184">
        <v>17645985</v>
      </c>
      <c r="AS150" s="184">
        <v>25989660</v>
      </c>
      <c r="AT150" s="184">
        <v>0</v>
      </c>
      <c r="AU150" s="184">
        <v>568080</v>
      </c>
      <c r="AV150" s="184">
        <v>0</v>
      </c>
      <c r="AW150" s="184">
        <v>426060</v>
      </c>
      <c r="AX150" s="184">
        <v>44168220</v>
      </c>
      <c r="AY150" s="184">
        <v>355050</v>
      </c>
      <c r="AZ150" s="184">
        <v>17326440</v>
      </c>
      <c r="BA150" s="184">
        <v>6248880</v>
      </c>
      <c r="BB150" s="184">
        <v>1349190</v>
      </c>
      <c r="BC150" s="177" t="s">
        <v>200</v>
      </c>
      <c r="BD150" s="184">
        <v>3692520</v>
      </c>
      <c r="BE150" s="184">
        <v>3159945</v>
      </c>
      <c r="BF150" s="184">
        <v>1242675</v>
      </c>
      <c r="BG150" s="184">
        <v>24995520</v>
      </c>
      <c r="BH150" s="184">
        <v>887625</v>
      </c>
      <c r="BI150" s="184">
        <v>1846260</v>
      </c>
      <c r="BJ150" s="187" t="s">
        <v>200</v>
      </c>
    </row>
    <row r="151" spans="2:62" x14ac:dyDescent="0.2">
      <c r="B151" s="175">
        <v>45786</v>
      </c>
      <c r="C151" s="176">
        <v>45786.458815312501</v>
      </c>
      <c r="D151" s="177" t="s">
        <v>271</v>
      </c>
      <c r="E151" s="178" t="s">
        <v>268</v>
      </c>
      <c r="F151" s="179" t="s">
        <v>269</v>
      </c>
      <c r="G151" s="180">
        <v>70.2</v>
      </c>
      <c r="H151" s="181">
        <v>60</v>
      </c>
      <c r="I151" s="181">
        <v>80</v>
      </c>
      <c r="J151" s="181">
        <v>69.709999999999994</v>
      </c>
      <c r="K151" s="182">
        <v>69.650000000000006</v>
      </c>
      <c r="L151" s="183">
        <v>1607000</v>
      </c>
      <c r="M151" s="184">
        <v>3750500</v>
      </c>
      <c r="N151" s="184">
        <v>100</v>
      </c>
      <c r="O151" s="184">
        <v>13</v>
      </c>
      <c r="P151" s="181">
        <v>3.85</v>
      </c>
      <c r="Q151" s="184">
        <v>37505</v>
      </c>
      <c r="R151" s="184">
        <v>144250</v>
      </c>
      <c r="S151" s="184">
        <v>166306</v>
      </c>
      <c r="T151" s="184">
        <v>200875</v>
      </c>
      <c r="U151" s="184">
        <v>198204</v>
      </c>
      <c r="V151" s="182">
        <v>2.33</v>
      </c>
      <c r="W151" s="183">
        <v>26</v>
      </c>
      <c r="X151" s="185">
        <v>8</v>
      </c>
      <c r="Y151" s="183">
        <v>112811400</v>
      </c>
      <c r="Z151" s="179" t="s">
        <v>272</v>
      </c>
      <c r="AA151" s="186" t="s">
        <v>200</v>
      </c>
      <c r="AB151" s="177" t="s">
        <v>200</v>
      </c>
      <c r="AC151" s="177" t="s">
        <v>200</v>
      </c>
      <c r="AD151" s="177" t="s">
        <v>200</v>
      </c>
      <c r="AE151" s="177" t="s">
        <v>200</v>
      </c>
      <c r="AF151" s="184">
        <v>112811400</v>
      </c>
      <c r="AG151" s="177" t="s">
        <v>200</v>
      </c>
      <c r="AH151" s="177" t="s">
        <v>200</v>
      </c>
      <c r="AI151" s="177" t="s">
        <v>200</v>
      </c>
      <c r="AJ151" s="177" t="s">
        <v>200</v>
      </c>
      <c r="AK151" s="177" t="s">
        <v>200</v>
      </c>
      <c r="AL151" s="177" t="s">
        <v>200</v>
      </c>
      <c r="AM151" s="177" t="s">
        <v>200</v>
      </c>
      <c r="AN151" s="177" t="s">
        <v>200</v>
      </c>
      <c r="AO151" s="177" t="s">
        <v>200</v>
      </c>
      <c r="AP151" s="177" t="s">
        <v>200</v>
      </c>
      <c r="AQ151" s="177" t="s">
        <v>200</v>
      </c>
      <c r="AR151" s="177" t="s">
        <v>200</v>
      </c>
      <c r="AS151" s="177" t="s">
        <v>200</v>
      </c>
      <c r="AT151" s="177" t="s">
        <v>200</v>
      </c>
      <c r="AU151" s="177" t="s">
        <v>200</v>
      </c>
      <c r="AV151" s="177" t="s">
        <v>200</v>
      </c>
      <c r="AW151" s="177" t="s">
        <v>200</v>
      </c>
      <c r="AX151" s="177" t="s">
        <v>200</v>
      </c>
      <c r="AY151" s="177" t="s">
        <v>200</v>
      </c>
      <c r="AZ151" s="177" t="s">
        <v>200</v>
      </c>
      <c r="BA151" s="177" t="s">
        <v>200</v>
      </c>
      <c r="BB151" s="177" t="s">
        <v>200</v>
      </c>
      <c r="BC151" s="177" t="s">
        <v>200</v>
      </c>
      <c r="BD151" s="177" t="s">
        <v>200</v>
      </c>
      <c r="BE151" s="177" t="s">
        <v>200</v>
      </c>
      <c r="BF151" s="177" t="s">
        <v>200</v>
      </c>
      <c r="BG151" s="177" t="s">
        <v>200</v>
      </c>
      <c r="BH151" s="177" t="s">
        <v>200</v>
      </c>
      <c r="BI151" s="177" t="s">
        <v>200</v>
      </c>
      <c r="BJ151" s="187" t="s">
        <v>200</v>
      </c>
    </row>
    <row r="152" spans="2:62" x14ac:dyDescent="0.2">
      <c r="B152" s="175">
        <v>45785</v>
      </c>
      <c r="C152" s="176">
        <v>45785.458800092594</v>
      </c>
      <c r="D152" s="177" t="s">
        <v>267</v>
      </c>
      <c r="E152" s="178" t="s">
        <v>268</v>
      </c>
      <c r="F152" s="179" t="s">
        <v>269</v>
      </c>
      <c r="G152" s="180">
        <v>70.3</v>
      </c>
      <c r="H152" s="181">
        <v>63</v>
      </c>
      <c r="I152" s="181">
        <v>80</v>
      </c>
      <c r="J152" s="181">
        <v>70.28</v>
      </c>
      <c r="K152" s="182">
        <v>70</v>
      </c>
      <c r="L152" s="183">
        <v>3245500</v>
      </c>
      <c r="M152" s="184">
        <v>6226500</v>
      </c>
      <c r="N152" s="184">
        <v>113</v>
      </c>
      <c r="O152" s="184">
        <v>35</v>
      </c>
      <c r="P152" s="181">
        <v>3.9</v>
      </c>
      <c r="Q152" s="184">
        <v>55102</v>
      </c>
      <c r="R152" s="184">
        <v>214707</v>
      </c>
      <c r="S152" s="184">
        <v>337956</v>
      </c>
      <c r="T152" s="184">
        <v>154548</v>
      </c>
      <c r="U152" s="184">
        <v>339088</v>
      </c>
      <c r="V152" s="182">
        <v>1.92</v>
      </c>
      <c r="W152" s="183">
        <v>29</v>
      </c>
      <c r="X152" s="185">
        <v>21</v>
      </c>
      <c r="Y152" s="183">
        <v>228158650</v>
      </c>
      <c r="Z152" s="179" t="s">
        <v>270</v>
      </c>
      <c r="AA152" s="183">
        <v>2038700</v>
      </c>
      <c r="AB152" s="184">
        <v>3515000</v>
      </c>
      <c r="AC152" s="184">
        <v>5588850</v>
      </c>
      <c r="AD152" s="184">
        <v>738150</v>
      </c>
      <c r="AE152" s="184">
        <v>3796200</v>
      </c>
      <c r="AF152" s="177" t="s">
        <v>200</v>
      </c>
      <c r="AG152" s="184">
        <v>1968400</v>
      </c>
      <c r="AH152" s="184">
        <v>1722350</v>
      </c>
      <c r="AI152" s="184">
        <v>7662700</v>
      </c>
      <c r="AJ152" s="184">
        <v>17469550</v>
      </c>
      <c r="AK152" s="184">
        <v>2741700</v>
      </c>
      <c r="AL152" s="184">
        <v>10369250</v>
      </c>
      <c r="AM152" s="184">
        <v>773300</v>
      </c>
      <c r="AN152" s="184">
        <v>2952600</v>
      </c>
      <c r="AO152" s="184">
        <v>843600</v>
      </c>
      <c r="AP152" s="184">
        <v>17539850</v>
      </c>
      <c r="AQ152" s="184">
        <v>35150</v>
      </c>
      <c r="AR152" s="184">
        <v>17469550</v>
      </c>
      <c r="AS152" s="184">
        <v>25729800</v>
      </c>
      <c r="AT152" s="184">
        <v>0</v>
      </c>
      <c r="AU152" s="184">
        <v>562400</v>
      </c>
      <c r="AV152" s="184">
        <v>0</v>
      </c>
      <c r="AW152" s="184">
        <v>421800</v>
      </c>
      <c r="AX152" s="184">
        <v>43726600</v>
      </c>
      <c r="AY152" s="184">
        <v>351500</v>
      </c>
      <c r="AZ152" s="184">
        <v>17153200</v>
      </c>
      <c r="BA152" s="184">
        <v>6186400</v>
      </c>
      <c r="BB152" s="184">
        <v>1335700</v>
      </c>
      <c r="BC152" s="177" t="s">
        <v>200</v>
      </c>
      <c r="BD152" s="184">
        <v>3655600</v>
      </c>
      <c r="BE152" s="184">
        <v>3128350</v>
      </c>
      <c r="BF152" s="184">
        <v>1230250</v>
      </c>
      <c r="BG152" s="184">
        <v>24745600</v>
      </c>
      <c r="BH152" s="184">
        <v>878750</v>
      </c>
      <c r="BI152" s="184">
        <v>1827800</v>
      </c>
      <c r="BJ152" s="187" t="s">
        <v>200</v>
      </c>
    </row>
    <row r="153" spans="2:62" x14ac:dyDescent="0.2">
      <c r="B153" s="175">
        <v>45783</v>
      </c>
      <c r="C153" s="176">
        <v>45783.458658113428</v>
      </c>
      <c r="D153" s="177" t="s">
        <v>267</v>
      </c>
      <c r="E153" s="178" t="s">
        <v>268</v>
      </c>
      <c r="F153" s="179" t="s">
        <v>269</v>
      </c>
      <c r="G153" s="180">
        <v>67.88</v>
      </c>
      <c r="H153" s="181">
        <v>63</v>
      </c>
      <c r="I153" s="181">
        <v>85</v>
      </c>
      <c r="J153" s="181">
        <v>67.760000000000005</v>
      </c>
      <c r="K153" s="182">
        <v>67.599999999999994</v>
      </c>
      <c r="L153" s="183">
        <v>3245500</v>
      </c>
      <c r="M153" s="184">
        <v>5433000</v>
      </c>
      <c r="N153" s="184">
        <v>104</v>
      </c>
      <c r="O153" s="184">
        <v>33</v>
      </c>
      <c r="P153" s="181">
        <v>4.16</v>
      </c>
      <c r="Q153" s="184">
        <v>52240</v>
      </c>
      <c r="R153" s="184">
        <v>217320</v>
      </c>
      <c r="S153" s="184">
        <v>287835</v>
      </c>
      <c r="T153" s="184">
        <v>202844</v>
      </c>
      <c r="U153" s="184">
        <v>287948</v>
      </c>
      <c r="V153" s="182">
        <v>1.67</v>
      </c>
      <c r="W153" s="183">
        <v>25</v>
      </c>
      <c r="X153" s="185">
        <v>16</v>
      </c>
      <c r="Y153" s="183">
        <v>220304540</v>
      </c>
      <c r="Z153" s="179" t="s">
        <v>270</v>
      </c>
      <c r="AA153" s="183">
        <v>1968520</v>
      </c>
      <c r="AB153" s="184">
        <v>3394000</v>
      </c>
      <c r="AC153" s="184">
        <v>5396460</v>
      </c>
      <c r="AD153" s="184">
        <v>712740</v>
      </c>
      <c r="AE153" s="184">
        <v>3665520</v>
      </c>
      <c r="AF153" s="177" t="s">
        <v>200</v>
      </c>
      <c r="AG153" s="184">
        <v>1900640</v>
      </c>
      <c r="AH153" s="184">
        <v>1663060</v>
      </c>
      <c r="AI153" s="184">
        <v>7398920</v>
      </c>
      <c r="AJ153" s="184">
        <v>16868180</v>
      </c>
      <c r="AK153" s="184">
        <v>2647320</v>
      </c>
      <c r="AL153" s="184">
        <v>10012300</v>
      </c>
      <c r="AM153" s="184">
        <v>746680</v>
      </c>
      <c r="AN153" s="184">
        <v>2850960</v>
      </c>
      <c r="AO153" s="184">
        <v>814560</v>
      </c>
      <c r="AP153" s="184">
        <v>16936060</v>
      </c>
      <c r="AQ153" s="184">
        <v>33940</v>
      </c>
      <c r="AR153" s="184">
        <v>16868180</v>
      </c>
      <c r="AS153" s="184">
        <v>24844080</v>
      </c>
      <c r="AT153" s="184">
        <v>0</v>
      </c>
      <c r="AU153" s="184">
        <v>543040</v>
      </c>
      <c r="AV153" s="184">
        <v>0</v>
      </c>
      <c r="AW153" s="184">
        <v>407280</v>
      </c>
      <c r="AX153" s="184">
        <v>42221360</v>
      </c>
      <c r="AY153" s="184">
        <v>339400</v>
      </c>
      <c r="AZ153" s="184">
        <v>16562720</v>
      </c>
      <c r="BA153" s="184">
        <v>5973440</v>
      </c>
      <c r="BB153" s="184">
        <v>1289720</v>
      </c>
      <c r="BC153" s="177" t="s">
        <v>200</v>
      </c>
      <c r="BD153" s="184">
        <v>3529760</v>
      </c>
      <c r="BE153" s="184">
        <v>3020660</v>
      </c>
      <c r="BF153" s="184">
        <v>1187900</v>
      </c>
      <c r="BG153" s="184">
        <v>23893760</v>
      </c>
      <c r="BH153" s="184">
        <v>848500</v>
      </c>
      <c r="BI153" s="184">
        <v>1764880</v>
      </c>
      <c r="BJ153" s="187" t="s">
        <v>200</v>
      </c>
    </row>
    <row r="154" spans="2:62" x14ac:dyDescent="0.2">
      <c r="B154" s="175">
        <v>45782</v>
      </c>
      <c r="C154" s="176">
        <v>45782.459088113428</v>
      </c>
      <c r="D154" s="177" t="s">
        <v>267</v>
      </c>
      <c r="E154" s="178" t="s">
        <v>268</v>
      </c>
      <c r="F154" s="179" t="s">
        <v>269</v>
      </c>
      <c r="G154" s="180">
        <v>66.64</v>
      </c>
      <c r="H154" s="181">
        <v>62.9</v>
      </c>
      <c r="I154" s="181">
        <v>77</v>
      </c>
      <c r="J154" s="181">
        <v>66.540000000000006</v>
      </c>
      <c r="K154" s="182">
        <v>66.510000000000005</v>
      </c>
      <c r="L154" s="183">
        <v>3245500</v>
      </c>
      <c r="M154" s="184">
        <v>5049000</v>
      </c>
      <c r="N154" s="184">
        <v>111</v>
      </c>
      <c r="O154" s="184">
        <v>43</v>
      </c>
      <c r="P154" s="181">
        <v>4.83</v>
      </c>
      <c r="Q154" s="184">
        <v>45486</v>
      </c>
      <c r="R154" s="184">
        <v>219522</v>
      </c>
      <c r="S154" s="184">
        <v>236968</v>
      </c>
      <c r="T154" s="184">
        <v>170816</v>
      </c>
      <c r="U154" s="184">
        <v>238874</v>
      </c>
      <c r="V154" s="182">
        <v>1.56</v>
      </c>
      <c r="W154" s="183">
        <v>23</v>
      </c>
      <c r="X154" s="185">
        <v>19</v>
      </c>
      <c r="Y154" s="183">
        <v>216280120</v>
      </c>
      <c r="Z154" s="179" t="s">
        <v>270</v>
      </c>
      <c r="AA154" s="183">
        <v>1932560</v>
      </c>
      <c r="AB154" s="184">
        <v>3332000</v>
      </c>
      <c r="AC154" s="184">
        <v>5297880</v>
      </c>
      <c r="AD154" s="184">
        <v>699720</v>
      </c>
      <c r="AE154" s="184">
        <v>3598560</v>
      </c>
      <c r="AF154" s="177" t="s">
        <v>200</v>
      </c>
      <c r="AG154" s="184">
        <v>1865920</v>
      </c>
      <c r="AH154" s="184">
        <v>1632680</v>
      </c>
      <c r="AI154" s="184">
        <v>7263760</v>
      </c>
      <c r="AJ154" s="184">
        <v>16560040</v>
      </c>
      <c r="AK154" s="184">
        <v>2598960</v>
      </c>
      <c r="AL154" s="184">
        <v>9829400</v>
      </c>
      <c r="AM154" s="184">
        <v>733040</v>
      </c>
      <c r="AN154" s="184">
        <v>2798880</v>
      </c>
      <c r="AO154" s="184">
        <v>799680</v>
      </c>
      <c r="AP154" s="184">
        <v>16626680</v>
      </c>
      <c r="AQ154" s="184">
        <v>33320</v>
      </c>
      <c r="AR154" s="184">
        <v>16560040</v>
      </c>
      <c r="AS154" s="184">
        <v>24390240</v>
      </c>
      <c r="AT154" s="184">
        <v>0</v>
      </c>
      <c r="AU154" s="184">
        <v>533120</v>
      </c>
      <c r="AV154" s="184">
        <v>0</v>
      </c>
      <c r="AW154" s="184">
        <v>399840</v>
      </c>
      <c r="AX154" s="184">
        <v>41450080</v>
      </c>
      <c r="AY154" s="184">
        <v>333200</v>
      </c>
      <c r="AZ154" s="184">
        <v>16260160</v>
      </c>
      <c r="BA154" s="184">
        <v>5864320</v>
      </c>
      <c r="BB154" s="184">
        <v>1266160</v>
      </c>
      <c r="BC154" s="177" t="s">
        <v>200</v>
      </c>
      <c r="BD154" s="184">
        <v>3465280</v>
      </c>
      <c r="BE154" s="184">
        <v>2965480</v>
      </c>
      <c r="BF154" s="184">
        <v>1166200</v>
      </c>
      <c r="BG154" s="184">
        <v>23457280</v>
      </c>
      <c r="BH154" s="184">
        <v>833000</v>
      </c>
      <c r="BI154" s="184">
        <v>1732640</v>
      </c>
      <c r="BJ154" s="187" t="s">
        <v>200</v>
      </c>
    </row>
    <row r="155" spans="2:62" x14ac:dyDescent="0.2">
      <c r="B155" s="175">
        <v>45777</v>
      </c>
      <c r="C155" s="176">
        <v>45777.458580127313</v>
      </c>
      <c r="D155" s="177" t="s">
        <v>273</v>
      </c>
      <c r="E155" s="178" t="s">
        <v>268</v>
      </c>
      <c r="F155" s="179" t="s">
        <v>269</v>
      </c>
      <c r="G155" s="180">
        <v>65.05</v>
      </c>
      <c r="H155" s="181">
        <v>63</v>
      </c>
      <c r="I155" s="181">
        <v>85</v>
      </c>
      <c r="J155" s="181">
        <v>65.06</v>
      </c>
      <c r="K155" s="182">
        <v>64.72</v>
      </c>
      <c r="L155" s="183">
        <v>2072500</v>
      </c>
      <c r="M155" s="184">
        <v>3129000</v>
      </c>
      <c r="N155" s="184">
        <v>87</v>
      </c>
      <c r="O155" s="184">
        <v>23</v>
      </c>
      <c r="P155" s="181">
        <v>3.63</v>
      </c>
      <c r="Q155" s="184">
        <v>35966</v>
      </c>
      <c r="R155" s="184">
        <v>130375</v>
      </c>
      <c r="S155" s="184">
        <v>232614</v>
      </c>
      <c r="T155" s="184">
        <v>159423</v>
      </c>
      <c r="U155" s="184">
        <v>307614</v>
      </c>
      <c r="V155" s="182">
        <v>1.51</v>
      </c>
      <c r="W155" s="183">
        <v>24</v>
      </c>
      <c r="X155" s="185">
        <v>13</v>
      </c>
      <c r="Y155" s="183">
        <v>134816125</v>
      </c>
      <c r="Z155" s="179" t="s">
        <v>274</v>
      </c>
      <c r="AA155" s="186" t="s">
        <v>200</v>
      </c>
      <c r="AB155" s="177" t="s">
        <v>200</v>
      </c>
      <c r="AC155" s="177" t="s">
        <v>200</v>
      </c>
      <c r="AD155" s="177" t="s">
        <v>200</v>
      </c>
      <c r="AE155" s="177" t="s">
        <v>200</v>
      </c>
      <c r="AF155" s="177" t="s">
        <v>200</v>
      </c>
      <c r="AG155" s="177" t="s">
        <v>200</v>
      </c>
      <c r="AH155" s="177" t="s">
        <v>200</v>
      </c>
      <c r="AI155" s="177" t="s">
        <v>200</v>
      </c>
      <c r="AJ155" s="177" t="s">
        <v>200</v>
      </c>
      <c r="AK155" s="177" t="s">
        <v>200</v>
      </c>
      <c r="AL155" s="177" t="s">
        <v>200</v>
      </c>
      <c r="AM155" s="177" t="s">
        <v>200</v>
      </c>
      <c r="AN155" s="177" t="s">
        <v>200</v>
      </c>
      <c r="AO155" s="177" t="s">
        <v>200</v>
      </c>
      <c r="AP155" s="177" t="s">
        <v>200</v>
      </c>
      <c r="AQ155" s="177" t="s">
        <v>200</v>
      </c>
      <c r="AR155" s="177" t="s">
        <v>200</v>
      </c>
      <c r="AS155" s="177" t="s">
        <v>200</v>
      </c>
      <c r="AT155" s="177" t="s">
        <v>200</v>
      </c>
      <c r="AU155" s="177" t="s">
        <v>200</v>
      </c>
      <c r="AV155" s="177" t="s">
        <v>200</v>
      </c>
      <c r="AW155" s="177" t="s">
        <v>200</v>
      </c>
      <c r="AX155" s="177" t="s">
        <v>200</v>
      </c>
      <c r="AY155" s="177" t="s">
        <v>200</v>
      </c>
      <c r="AZ155" s="177" t="s">
        <v>200</v>
      </c>
      <c r="BA155" s="177" t="s">
        <v>200</v>
      </c>
      <c r="BB155" s="177" t="s">
        <v>200</v>
      </c>
      <c r="BC155" s="184">
        <v>134816125</v>
      </c>
      <c r="BD155" s="177" t="s">
        <v>200</v>
      </c>
      <c r="BE155" s="177" t="s">
        <v>200</v>
      </c>
      <c r="BF155" s="177" t="s">
        <v>200</v>
      </c>
      <c r="BG155" s="177" t="s">
        <v>200</v>
      </c>
      <c r="BH155" s="177" t="s">
        <v>200</v>
      </c>
      <c r="BI155" s="177" t="s">
        <v>200</v>
      </c>
      <c r="BJ155" s="187" t="s">
        <v>200</v>
      </c>
    </row>
    <row r="156" spans="2:62" x14ac:dyDescent="0.2">
      <c r="B156" s="175">
        <v>45776</v>
      </c>
      <c r="C156" s="176">
        <v>45776.458672708337</v>
      </c>
      <c r="D156" s="177" t="s">
        <v>267</v>
      </c>
      <c r="E156" s="178" t="s">
        <v>268</v>
      </c>
      <c r="F156" s="179" t="s">
        <v>269</v>
      </c>
      <c r="G156" s="180">
        <v>63.55</v>
      </c>
      <c r="H156" s="181">
        <v>59</v>
      </c>
      <c r="I156" s="181">
        <v>85</v>
      </c>
      <c r="J156" s="181">
        <v>63.81</v>
      </c>
      <c r="K156" s="182">
        <v>63.35</v>
      </c>
      <c r="L156" s="183">
        <v>3245500</v>
      </c>
      <c r="M156" s="184">
        <v>4701500</v>
      </c>
      <c r="N156" s="184">
        <v>110</v>
      </c>
      <c r="O156" s="184">
        <v>38</v>
      </c>
      <c r="P156" s="181">
        <v>4.07</v>
      </c>
      <c r="Q156" s="184">
        <v>42741</v>
      </c>
      <c r="R156" s="184">
        <v>174130</v>
      </c>
      <c r="S156" s="184">
        <v>252889</v>
      </c>
      <c r="T156" s="184">
        <v>180306</v>
      </c>
      <c r="U156" s="184">
        <v>268841</v>
      </c>
      <c r="V156" s="182">
        <v>1.45</v>
      </c>
      <c r="W156" s="183">
        <v>27</v>
      </c>
      <c r="X156" s="185">
        <v>18</v>
      </c>
      <c r="Y156" s="183">
        <v>206251525</v>
      </c>
      <c r="Z156" s="179" t="s">
        <v>270</v>
      </c>
      <c r="AA156" s="183">
        <v>1842950</v>
      </c>
      <c r="AB156" s="184">
        <v>3177500</v>
      </c>
      <c r="AC156" s="184">
        <v>5052225</v>
      </c>
      <c r="AD156" s="184">
        <v>667275</v>
      </c>
      <c r="AE156" s="184">
        <v>3431700</v>
      </c>
      <c r="AF156" s="177" t="s">
        <v>200</v>
      </c>
      <c r="AG156" s="184">
        <v>1779400</v>
      </c>
      <c r="AH156" s="184">
        <v>1556975</v>
      </c>
      <c r="AI156" s="184">
        <v>6926950</v>
      </c>
      <c r="AJ156" s="184">
        <v>15792175</v>
      </c>
      <c r="AK156" s="184">
        <v>2478450</v>
      </c>
      <c r="AL156" s="184">
        <v>9373625</v>
      </c>
      <c r="AM156" s="184">
        <v>699050</v>
      </c>
      <c r="AN156" s="184">
        <v>2669100</v>
      </c>
      <c r="AO156" s="184">
        <v>762600</v>
      </c>
      <c r="AP156" s="184">
        <v>15855725</v>
      </c>
      <c r="AQ156" s="184">
        <v>31775</v>
      </c>
      <c r="AR156" s="184">
        <v>15792175</v>
      </c>
      <c r="AS156" s="184">
        <v>23259300</v>
      </c>
      <c r="AT156" s="184">
        <v>0</v>
      </c>
      <c r="AU156" s="184">
        <v>508400</v>
      </c>
      <c r="AV156" s="184">
        <v>0</v>
      </c>
      <c r="AW156" s="184">
        <v>381300</v>
      </c>
      <c r="AX156" s="184">
        <v>39528100</v>
      </c>
      <c r="AY156" s="184">
        <v>317750</v>
      </c>
      <c r="AZ156" s="184">
        <v>15506200</v>
      </c>
      <c r="BA156" s="184">
        <v>5592400</v>
      </c>
      <c r="BB156" s="184">
        <v>1207450</v>
      </c>
      <c r="BC156" s="177" t="s">
        <v>200</v>
      </c>
      <c r="BD156" s="184">
        <v>3304600</v>
      </c>
      <c r="BE156" s="184">
        <v>2827975</v>
      </c>
      <c r="BF156" s="184">
        <v>1112125</v>
      </c>
      <c r="BG156" s="184">
        <v>22369600</v>
      </c>
      <c r="BH156" s="184">
        <v>794375</v>
      </c>
      <c r="BI156" s="184">
        <v>1652300</v>
      </c>
      <c r="BJ156" s="187" t="s">
        <v>200</v>
      </c>
    </row>
    <row r="157" spans="2:62" x14ac:dyDescent="0.2">
      <c r="B157" s="175">
        <v>45775</v>
      </c>
      <c r="C157" s="176">
        <v>45775.458977025461</v>
      </c>
      <c r="D157" s="177" t="s">
        <v>267</v>
      </c>
      <c r="E157" s="178" t="s">
        <v>268</v>
      </c>
      <c r="F157" s="179" t="s">
        <v>269</v>
      </c>
      <c r="G157" s="180">
        <v>64.2</v>
      </c>
      <c r="H157" s="181">
        <v>62.75</v>
      </c>
      <c r="I157" s="181">
        <v>75</v>
      </c>
      <c r="J157" s="181">
        <v>64.260000000000005</v>
      </c>
      <c r="K157" s="182">
        <v>63.99</v>
      </c>
      <c r="L157" s="183">
        <v>3245500</v>
      </c>
      <c r="M157" s="184">
        <v>5156500</v>
      </c>
      <c r="N157" s="184">
        <v>119</v>
      </c>
      <c r="O157" s="184">
        <v>37</v>
      </c>
      <c r="P157" s="181">
        <v>4.0999999999999996</v>
      </c>
      <c r="Q157" s="184">
        <v>43332</v>
      </c>
      <c r="R157" s="184">
        <v>177810</v>
      </c>
      <c r="S157" s="184">
        <v>286446</v>
      </c>
      <c r="T157" s="184">
        <v>170816</v>
      </c>
      <c r="U157" s="184">
        <v>308677</v>
      </c>
      <c r="V157" s="182">
        <v>1.59</v>
      </c>
      <c r="W157" s="183">
        <v>29</v>
      </c>
      <c r="X157" s="185">
        <v>19</v>
      </c>
      <c r="Y157" s="183">
        <v>208361100</v>
      </c>
      <c r="Z157" s="179" t="s">
        <v>270</v>
      </c>
      <c r="AA157" s="183">
        <v>1861800</v>
      </c>
      <c r="AB157" s="184">
        <v>3210000</v>
      </c>
      <c r="AC157" s="184">
        <v>5103900</v>
      </c>
      <c r="AD157" s="184">
        <v>674100</v>
      </c>
      <c r="AE157" s="184">
        <v>3466800</v>
      </c>
      <c r="AF157" s="177" t="s">
        <v>200</v>
      </c>
      <c r="AG157" s="184">
        <v>1797600</v>
      </c>
      <c r="AH157" s="184">
        <v>1572900</v>
      </c>
      <c r="AI157" s="184">
        <v>6997800</v>
      </c>
      <c r="AJ157" s="184">
        <v>15953700</v>
      </c>
      <c r="AK157" s="184">
        <v>2503800</v>
      </c>
      <c r="AL157" s="184">
        <v>9469500</v>
      </c>
      <c r="AM157" s="184">
        <v>706200</v>
      </c>
      <c r="AN157" s="184">
        <v>2696400</v>
      </c>
      <c r="AO157" s="184">
        <v>770400</v>
      </c>
      <c r="AP157" s="184">
        <v>16017900</v>
      </c>
      <c r="AQ157" s="184">
        <v>32100</v>
      </c>
      <c r="AR157" s="184">
        <v>15953700</v>
      </c>
      <c r="AS157" s="184">
        <v>23497200</v>
      </c>
      <c r="AT157" s="184">
        <v>0</v>
      </c>
      <c r="AU157" s="184">
        <v>513600</v>
      </c>
      <c r="AV157" s="184">
        <v>0</v>
      </c>
      <c r="AW157" s="184">
        <v>385200</v>
      </c>
      <c r="AX157" s="184">
        <v>39932400</v>
      </c>
      <c r="AY157" s="184">
        <v>321000</v>
      </c>
      <c r="AZ157" s="184">
        <v>15664800</v>
      </c>
      <c r="BA157" s="184">
        <v>5649600</v>
      </c>
      <c r="BB157" s="184">
        <v>1219800</v>
      </c>
      <c r="BC157" s="177" t="s">
        <v>200</v>
      </c>
      <c r="BD157" s="184">
        <v>3338400</v>
      </c>
      <c r="BE157" s="184">
        <v>2856900</v>
      </c>
      <c r="BF157" s="184">
        <v>1123500</v>
      </c>
      <c r="BG157" s="184">
        <v>22598400</v>
      </c>
      <c r="BH157" s="184">
        <v>802500</v>
      </c>
      <c r="BI157" s="184">
        <v>1669200</v>
      </c>
      <c r="BJ157" s="187" t="s">
        <v>200</v>
      </c>
    </row>
    <row r="158" spans="2:62" x14ac:dyDescent="0.2">
      <c r="B158" s="175">
        <v>45772</v>
      </c>
      <c r="C158" s="176">
        <v>45772.458615185184</v>
      </c>
      <c r="D158" s="177" t="s">
        <v>271</v>
      </c>
      <c r="E158" s="178" t="s">
        <v>268</v>
      </c>
      <c r="F158" s="179" t="s">
        <v>269</v>
      </c>
      <c r="G158" s="180">
        <v>65.89</v>
      </c>
      <c r="H158" s="181">
        <v>63</v>
      </c>
      <c r="I158" s="181">
        <v>73.5</v>
      </c>
      <c r="J158" s="181">
        <v>65.23</v>
      </c>
      <c r="K158" s="182">
        <v>65.08</v>
      </c>
      <c r="L158" s="183">
        <v>1607000</v>
      </c>
      <c r="M158" s="184">
        <v>3866500</v>
      </c>
      <c r="N158" s="184">
        <v>87</v>
      </c>
      <c r="O158" s="184">
        <v>13</v>
      </c>
      <c r="P158" s="181">
        <v>3.95</v>
      </c>
      <c r="Q158" s="184">
        <v>44443</v>
      </c>
      <c r="R158" s="184">
        <v>175750</v>
      </c>
      <c r="S158" s="184">
        <v>168228</v>
      </c>
      <c r="T158" s="184">
        <v>200875</v>
      </c>
      <c r="U158" s="184">
        <v>157008</v>
      </c>
      <c r="V158" s="182">
        <v>2.41</v>
      </c>
      <c r="W158" s="183">
        <v>22</v>
      </c>
      <c r="X158" s="185">
        <v>8</v>
      </c>
      <c r="Y158" s="183">
        <v>105885230</v>
      </c>
      <c r="Z158" s="179" t="s">
        <v>272</v>
      </c>
      <c r="AA158" s="186" t="s">
        <v>200</v>
      </c>
      <c r="AB158" s="177" t="s">
        <v>200</v>
      </c>
      <c r="AC158" s="177" t="s">
        <v>200</v>
      </c>
      <c r="AD158" s="177" t="s">
        <v>200</v>
      </c>
      <c r="AE158" s="177" t="s">
        <v>200</v>
      </c>
      <c r="AF158" s="184">
        <v>105885230</v>
      </c>
      <c r="AG158" s="177" t="s">
        <v>200</v>
      </c>
      <c r="AH158" s="177" t="s">
        <v>200</v>
      </c>
      <c r="AI158" s="177" t="s">
        <v>200</v>
      </c>
      <c r="AJ158" s="177" t="s">
        <v>200</v>
      </c>
      <c r="AK158" s="177" t="s">
        <v>200</v>
      </c>
      <c r="AL158" s="177" t="s">
        <v>200</v>
      </c>
      <c r="AM158" s="177" t="s">
        <v>200</v>
      </c>
      <c r="AN158" s="177" t="s">
        <v>200</v>
      </c>
      <c r="AO158" s="177" t="s">
        <v>200</v>
      </c>
      <c r="AP158" s="177" t="s">
        <v>200</v>
      </c>
      <c r="AQ158" s="177" t="s">
        <v>200</v>
      </c>
      <c r="AR158" s="177" t="s">
        <v>200</v>
      </c>
      <c r="AS158" s="177" t="s">
        <v>200</v>
      </c>
      <c r="AT158" s="177" t="s">
        <v>200</v>
      </c>
      <c r="AU158" s="177" t="s">
        <v>200</v>
      </c>
      <c r="AV158" s="177" t="s">
        <v>200</v>
      </c>
      <c r="AW158" s="177" t="s">
        <v>200</v>
      </c>
      <c r="AX158" s="177" t="s">
        <v>200</v>
      </c>
      <c r="AY158" s="177" t="s">
        <v>200</v>
      </c>
      <c r="AZ158" s="177" t="s">
        <v>200</v>
      </c>
      <c r="BA158" s="177" t="s">
        <v>200</v>
      </c>
      <c r="BB158" s="177" t="s">
        <v>200</v>
      </c>
      <c r="BC158" s="177" t="s">
        <v>200</v>
      </c>
      <c r="BD158" s="177" t="s">
        <v>200</v>
      </c>
      <c r="BE158" s="177" t="s">
        <v>200</v>
      </c>
      <c r="BF158" s="177" t="s">
        <v>200</v>
      </c>
      <c r="BG158" s="177" t="s">
        <v>200</v>
      </c>
      <c r="BH158" s="177" t="s">
        <v>200</v>
      </c>
      <c r="BI158" s="177" t="s">
        <v>200</v>
      </c>
      <c r="BJ158" s="187" t="s">
        <v>200</v>
      </c>
    </row>
    <row r="159" spans="2:62" x14ac:dyDescent="0.2">
      <c r="B159" s="175">
        <v>45771</v>
      </c>
      <c r="C159" s="176">
        <v>45771.458674791669</v>
      </c>
      <c r="D159" s="177" t="s">
        <v>267</v>
      </c>
      <c r="E159" s="178" t="s">
        <v>268</v>
      </c>
      <c r="F159" s="179" t="s">
        <v>269</v>
      </c>
      <c r="G159" s="180">
        <v>63.93</v>
      </c>
      <c r="H159" s="181">
        <v>61.5</v>
      </c>
      <c r="I159" s="181">
        <v>85</v>
      </c>
      <c r="J159" s="181">
        <v>64.47</v>
      </c>
      <c r="K159" s="182">
        <v>63.83</v>
      </c>
      <c r="L159" s="183">
        <v>3245500</v>
      </c>
      <c r="M159" s="184">
        <v>5126000</v>
      </c>
      <c r="N159" s="184">
        <v>105</v>
      </c>
      <c r="O159" s="184">
        <v>46</v>
      </c>
      <c r="P159" s="181">
        <v>3.75</v>
      </c>
      <c r="Q159" s="184">
        <v>48819</v>
      </c>
      <c r="R159" s="184">
        <v>183071</v>
      </c>
      <c r="S159" s="184">
        <v>217658</v>
      </c>
      <c r="T159" s="184">
        <v>129820</v>
      </c>
      <c r="U159" s="184">
        <v>185508</v>
      </c>
      <c r="V159" s="182">
        <v>1.58</v>
      </c>
      <c r="W159" s="183">
        <v>28</v>
      </c>
      <c r="X159" s="185">
        <v>25</v>
      </c>
      <c r="Y159" s="183">
        <v>207484815</v>
      </c>
      <c r="Z159" s="179" t="s">
        <v>270</v>
      </c>
      <c r="AA159" s="183">
        <v>1853970</v>
      </c>
      <c r="AB159" s="184">
        <v>3196500</v>
      </c>
      <c r="AC159" s="184">
        <v>5082435</v>
      </c>
      <c r="AD159" s="184">
        <v>671265</v>
      </c>
      <c r="AE159" s="184">
        <v>3452220</v>
      </c>
      <c r="AF159" s="177" t="s">
        <v>200</v>
      </c>
      <c r="AG159" s="184">
        <v>1790040</v>
      </c>
      <c r="AH159" s="184">
        <v>1566285</v>
      </c>
      <c r="AI159" s="184">
        <v>6968370</v>
      </c>
      <c r="AJ159" s="184">
        <v>15886605</v>
      </c>
      <c r="AK159" s="184">
        <v>2493270</v>
      </c>
      <c r="AL159" s="184">
        <v>9429675</v>
      </c>
      <c r="AM159" s="184">
        <v>703230</v>
      </c>
      <c r="AN159" s="184">
        <v>2685060</v>
      </c>
      <c r="AO159" s="184">
        <v>767160</v>
      </c>
      <c r="AP159" s="184">
        <v>15950535</v>
      </c>
      <c r="AQ159" s="184">
        <v>31965</v>
      </c>
      <c r="AR159" s="184">
        <v>15886605</v>
      </c>
      <c r="AS159" s="184">
        <v>23398380</v>
      </c>
      <c r="AT159" s="184">
        <v>0</v>
      </c>
      <c r="AU159" s="184">
        <v>511440</v>
      </c>
      <c r="AV159" s="184">
        <v>0</v>
      </c>
      <c r="AW159" s="184">
        <v>383580</v>
      </c>
      <c r="AX159" s="184">
        <v>39764460</v>
      </c>
      <c r="AY159" s="184">
        <v>319650</v>
      </c>
      <c r="AZ159" s="184">
        <v>15598920</v>
      </c>
      <c r="BA159" s="184">
        <v>5625840</v>
      </c>
      <c r="BB159" s="184">
        <v>1214670</v>
      </c>
      <c r="BC159" s="177" t="s">
        <v>200</v>
      </c>
      <c r="BD159" s="184">
        <v>3324360</v>
      </c>
      <c r="BE159" s="184">
        <v>2844885</v>
      </c>
      <c r="BF159" s="184">
        <v>1118775</v>
      </c>
      <c r="BG159" s="184">
        <v>22503360</v>
      </c>
      <c r="BH159" s="184">
        <v>799125</v>
      </c>
      <c r="BI159" s="184">
        <v>1662180</v>
      </c>
      <c r="BJ159" s="187" t="s">
        <v>200</v>
      </c>
    </row>
    <row r="160" spans="2:62" x14ac:dyDescent="0.2">
      <c r="B160" s="175">
        <v>45769</v>
      </c>
      <c r="C160" s="176">
        <v>45769.458857071761</v>
      </c>
      <c r="D160" s="177" t="s">
        <v>267</v>
      </c>
      <c r="E160" s="178" t="s">
        <v>268</v>
      </c>
      <c r="F160" s="179" t="s">
        <v>269</v>
      </c>
      <c r="G160" s="180">
        <v>63.3</v>
      </c>
      <c r="H160" s="181">
        <v>59</v>
      </c>
      <c r="I160" s="181">
        <v>72</v>
      </c>
      <c r="J160" s="181">
        <v>63.43</v>
      </c>
      <c r="K160" s="182">
        <v>63.05</v>
      </c>
      <c r="L160" s="183">
        <v>3245500</v>
      </c>
      <c r="M160" s="184">
        <v>4901000</v>
      </c>
      <c r="N160" s="184">
        <v>94</v>
      </c>
      <c r="O160" s="184">
        <v>39</v>
      </c>
      <c r="P160" s="181">
        <v>4.2699999999999996</v>
      </c>
      <c r="Q160" s="184">
        <v>52138</v>
      </c>
      <c r="R160" s="184">
        <v>222773</v>
      </c>
      <c r="S160" s="184">
        <v>247702</v>
      </c>
      <c r="T160" s="184">
        <v>180306</v>
      </c>
      <c r="U160" s="184">
        <v>244338</v>
      </c>
      <c r="V160" s="182">
        <v>1.51</v>
      </c>
      <c r="W160" s="183">
        <v>22</v>
      </c>
      <c r="X160" s="185">
        <v>18</v>
      </c>
      <c r="Y160" s="183">
        <v>205440150</v>
      </c>
      <c r="Z160" s="179" t="s">
        <v>270</v>
      </c>
      <c r="AA160" s="183">
        <v>1835700</v>
      </c>
      <c r="AB160" s="184">
        <v>3165000</v>
      </c>
      <c r="AC160" s="184">
        <v>5032350</v>
      </c>
      <c r="AD160" s="184">
        <v>664650</v>
      </c>
      <c r="AE160" s="184">
        <v>3418200</v>
      </c>
      <c r="AF160" s="177" t="s">
        <v>200</v>
      </c>
      <c r="AG160" s="184">
        <v>1772400</v>
      </c>
      <c r="AH160" s="184">
        <v>1550850</v>
      </c>
      <c r="AI160" s="184">
        <v>6899700</v>
      </c>
      <c r="AJ160" s="184">
        <v>15730050</v>
      </c>
      <c r="AK160" s="184">
        <v>2468700</v>
      </c>
      <c r="AL160" s="184">
        <v>9336750</v>
      </c>
      <c r="AM160" s="184">
        <v>696300</v>
      </c>
      <c r="AN160" s="184">
        <v>2658600</v>
      </c>
      <c r="AO160" s="184">
        <v>759600</v>
      </c>
      <c r="AP160" s="184">
        <v>15793350</v>
      </c>
      <c r="AQ160" s="184">
        <v>31650</v>
      </c>
      <c r="AR160" s="184">
        <v>15730050</v>
      </c>
      <c r="AS160" s="184">
        <v>23167800</v>
      </c>
      <c r="AT160" s="184">
        <v>0</v>
      </c>
      <c r="AU160" s="184">
        <v>506400</v>
      </c>
      <c r="AV160" s="184">
        <v>0</v>
      </c>
      <c r="AW160" s="184">
        <v>379800</v>
      </c>
      <c r="AX160" s="184">
        <v>39372600</v>
      </c>
      <c r="AY160" s="184">
        <v>316500</v>
      </c>
      <c r="AZ160" s="184">
        <v>15445200</v>
      </c>
      <c r="BA160" s="184">
        <v>5570400</v>
      </c>
      <c r="BB160" s="184">
        <v>1202700</v>
      </c>
      <c r="BC160" s="177" t="s">
        <v>200</v>
      </c>
      <c r="BD160" s="184">
        <v>3291600</v>
      </c>
      <c r="BE160" s="184">
        <v>2816850</v>
      </c>
      <c r="BF160" s="184">
        <v>1107750</v>
      </c>
      <c r="BG160" s="184">
        <v>22281600</v>
      </c>
      <c r="BH160" s="184">
        <v>791250</v>
      </c>
      <c r="BI160" s="184">
        <v>1645800</v>
      </c>
      <c r="BJ160" s="187" t="s">
        <v>200</v>
      </c>
    </row>
    <row r="161" spans="2:62" x14ac:dyDescent="0.2">
      <c r="B161" s="175">
        <v>45764</v>
      </c>
      <c r="C161" s="176">
        <v>45764.458534155092</v>
      </c>
      <c r="D161" s="177" t="s">
        <v>267</v>
      </c>
      <c r="E161" s="178" t="s">
        <v>268</v>
      </c>
      <c r="F161" s="179" t="s">
        <v>269</v>
      </c>
      <c r="G161" s="180">
        <v>65.06</v>
      </c>
      <c r="H161" s="181">
        <v>61.5</v>
      </c>
      <c r="I161" s="181">
        <v>85</v>
      </c>
      <c r="J161" s="181">
        <v>65.569999999999993</v>
      </c>
      <c r="K161" s="182">
        <v>65.12</v>
      </c>
      <c r="L161" s="183">
        <v>3245500</v>
      </c>
      <c r="M161" s="184">
        <v>4881500</v>
      </c>
      <c r="N161" s="184">
        <v>89</v>
      </c>
      <c r="O161" s="184">
        <v>52</v>
      </c>
      <c r="P161" s="181">
        <v>3.87</v>
      </c>
      <c r="Q161" s="184">
        <v>54848</v>
      </c>
      <c r="R161" s="184">
        <v>212239</v>
      </c>
      <c r="S161" s="184">
        <v>228326</v>
      </c>
      <c r="T161" s="184">
        <v>162275</v>
      </c>
      <c r="U161" s="184">
        <v>204611</v>
      </c>
      <c r="V161" s="182">
        <v>1.5</v>
      </c>
      <c r="W161" s="183">
        <v>23</v>
      </c>
      <c r="X161" s="185">
        <v>20</v>
      </c>
      <c r="Y161" s="183">
        <v>211152230</v>
      </c>
      <c r="Z161" s="179" t="s">
        <v>270</v>
      </c>
      <c r="AA161" s="183">
        <v>1886740</v>
      </c>
      <c r="AB161" s="184">
        <v>3253000</v>
      </c>
      <c r="AC161" s="184">
        <v>5172270</v>
      </c>
      <c r="AD161" s="184">
        <v>683130</v>
      </c>
      <c r="AE161" s="184">
        <v>3513240</v>
      </c>
      <c r="AF161" s="177" t="s">
        <v>200</v>
      </c>
      <c r="AG161" s="184">
        <v>1821680</v>
      </c>
      <c r="AH161" s="184">
        <v>1593970</v>
      </c>
      <c r="AI161" s="184">
        <v>7091540</v>
      </c>
      <c r="AJ161" s="184">
        <v>16167410</v>
      </c>
      <c r="AK161" s="184">
        <v>2537340</v>
      </c>
      <c r="AL161" s="184">
        <v>9596350</v>
      </c>
      <c r="AM161" s="184">
        <v>715660</v>
      </c>
      <c r="AN161" s="184">
        <v>2732520</v>
      </c>
      <c r="AO161" s="184">
        <v>780720</v>
      </c>
      <c r="AP161" s="184">
        <v>16232470</v>
      </c>
      <c r="AQ161" s="184">
        <v>32530</v>
      </c>
      <c r="AR161" s="184">
        <v>16167410</v>
      </c>
      <c r="AS161" s="184">
        <v>23811960</v>
      </c>
      <c r="AT161" s="184">
        <v>0</v>
      </c>
      <c r="AU161" s="184">
        <v>520480</v>
      </c>
      <c r="AV161" s="184">
        <v>0</v>
      </c>
      <c r="AW161" s="184">
        <v>390360</v>
      </c>
      <c r="AX161" s="184">
        <v>40467320</v>
      </c>
      <c r="AY161" s="184">
        <v>325300</v>
      </c>
      <c r="AZ161" s="184">
        <v>15874640</v>
      </c>
      <c r="BA161" s="184">
        <v>5725280</v>
      </c>
      <c r="BB161" s="184">
        <v>1236140</v>
      </c>
      <c r="BC161" s="177" t="s">
        <v>200</v>
      </c>
      <c r="BD161" s="184">
        <v>3383120</v>
      </c>
      <c r="BE161" s="184">
        <v>2895170</v>
      </c>
      <c r="BF161" s="184">
        <v>1138550</v>
      </c>
      <c r="BG161" s="184">
        <v>22901120</v>
      </c>
      <c r="BH161" s="184">
        <v>813250</v>
      </c>
      <c r="BI161" s="184">
        <v>1691560</v>
      </c>
      <c r="BJ161" s="187" t="s">
        <v>200</v>
      </c>
    </row>
    <row r="162" spans="2:62" x14ac:dyDescent="0.2">
      <c r="B162" s="175">
        <v>45763</v>
      </c>
      <c r="C162" s="176">
        <v>45763.458709942126</v>
      </c>
      <c r="D162" s="177" t="s">
        <v>273</v>
      </c>
      <c r="E162" s="178" t="s">
        <v>268</v>
      </c>
      <c r="F162" s="179" t="s">
        <v>269</v>
      </c>
      <c r="G162" s="180">
        <v>65.98</v>
      </c>
      <c r="H162" s="181">
        <v>61.5</v>
      </c>
      <c r="I162" s="181">
        <v>85</v>
      </c>
      <c r="J162" s="181">
        <v>66</v>
      </c>
      <c r="K162" s="182">
        <v>65.790000000000006</v>
      </c>
      <c r="L162" s="183">
        <v>2072500</v>
      </c>
      <c r="M162" s="184">
        <v>3567500</v>
      </c>
      <c r="N162" s="184">
        <v>89</v>
      </c>
      <c r="O162" s="184">
        <v>29</v>
      </c>
      <c r="P162" s="181">
        <v>4.05</v>
      </c>
      <c r="Q162" s="184">
        <v>40084</v>
      </c>
      <c r="R162" s="184">
        <v>162159</v>
      </c>
      <c r="S162" s="184">
        <v>149804</v>
      </c>
      <c r="T162" s="184">
        <v>138167</v>
      </c>
      <c r="U162" s="184">
        <v>132081</v>
      </c>
      <c r="V162" s="182">
        <v>1.72</v>
      </c>
      <c r="W162" s="183">
        <v>22</v>
      </c>
      <c r="X162" s="185">
        <v>15</v>
      </c>
      <c r="Y162" s="183">
        <v>136743550</v>
      </c>
      <c r="Z162" s="179" t="s">
        <v>274</v>
      </c>
      <c r="AA162" s="186" t="s">
        <v>200</v>
      </c>
      <c r="AB162" s="177" t="s">
        <v>200</v>
      </c>
      <c r="AC162" s="177" t="s">
        <v>200</v>
      </c>
      <c r="AD162" s="177" t="s">
        <v>200</v>
      </c>
      <c r="AE162" s="177" t="s">
        <v>200</v>
      </c>
      <c r="AF162" s="177" t="s">
        <v>200</v>
      </c>
      <c r="AG162" s="177" t="s">
        <v>200</v>
      </c>
      <c r="AH162" s="177" t="s">
        <v>200</v>
      </c>
      <c r="AI162" s="177" t="s">
        <v>200</v>
      </c>
      <c r="AJ162" s="177" t="s">
        <v>200</v>
      </c>
      <c r="AK162" s="177" t="s">
        <v>200</v>
      </c>
      <c r="AL162" s="177" t="s">
        <v>200</v>
      </c>
      <c r="AM162" s="177" t="s">
        <v>200</v>
      </c>
      <c r="AN162" s="177" t="s">
        <v>200</v>
      </c>
      <c r="AO162" s="177" t="s">
        <v>200</v>
      </c>
      <c r="AP162" s="177" t="s">
        <v>200</v>
      </c>
      <c r="AQ162" s="177" t="s">
        <v>200</v>
      </c>
      <c r="AR162" s="177" t="s">
        <v>200</v>
      </c>
      <c r="AS162" s="177" t="s">
        <v>200</v>
      </c>
      <c r="AT162" s="177" t="s">
        <v>200</v>
      </c>
      <c r="AU162" s="177" t="s">
        <v>200</v>
      </c>
      <c r="AV162" s="177" t="s">
        <v>200</v>
      </c>
      <c r="AW162" s="177" t="s">
        <v>200</v>
      </c>
      <c r="AX162" s="177" t="s">
        <v>200</v>
      </c>
      <c r="AY162" s="177" t="s">
        <v>200</v>
      </c>
      <c r="AZ162" s="177" t="s">
        <v>200</v>
      </c>
      <c r="BA162" s="177" t="s">
        <v>200</v>
      </c>
      <c r="BB162" s="177" t="s">
        <v>200</v>
      </c>
      <c r="BC162" s="184">
        <v>136743550</v>
      </c>
      <c r="BD162" s="177" t="s">
        <v>200</v>
      </c>
      <c r="BE162" s="177" t="s">
        <v>200</v>
      </c>
      <c r="BF162" s="177" t="s">
        <v>200</v>
      </c>
      <c r="BG162" s="177" t="s">
        <v>200</v>
      </c>
      <c r="BH162" s="177" t="s">
        <v>200</v>
      </c>
      <c r="BI162" s="177" t="s">
        <v>200</v>
      </c>
      <c r="BJ162" s="187" t="s">
        <v>200</v>
      </c>
    </row>
    <row r="163" spans="2:62" x14ac:dyDescent="0.2">
      <c r="B163" s="175">
        <v>45762</v>
      </c>
      <c r="C163" s="176">
        <v>45762.45866142361</v>
      </c>
      <c r="D163" s="177" t="s">
        <v>267</v>
      </c>
      <c r="E163" s="178" t="s">
        <v>268</v>
      </c>
      <c r="F163" s="179" t="s">
        <v>269</v>
      </c>
      <c r="G163" s="180">
        <v>66.209999999999994</v>
      </c>
      <c r="H163" s="181">
        <v>61.5</v>
      </c>
      <c r="I163" s="181">
        <v>120</v>
      </c>
      <c r="J163" s="181">
        <v>66.87</v>
      </c>
      <c r="K163" s="182">
        <v>66.14</v>
      </c>
      <c r="L163" s="183">
        <v>3245500</v>
      </c>
      <c r="M163" s="184">
        <v>4743000</v>
      </c>
      <c r="N163" s="184">
        <v>94</v>
      </c>
      <c r="O163" s="184">
        <v>43</v>
      </c>
      <c r="P163" s="181">
        <v>4.09</v>
      </c>
      <c r="Q163" s="184">
        <v>50457</v>
      </c>
      <c r="R163" s="184">
        <v>206217</v>
      </c>
      <c r="S163" s="184">
        <v>217927</v>
      </c>
      <c r="T163" s="184">
        <v>154548</v>
      </c>
      <c r="U163" s="184">
        <v>187533</v>
      </c>
      <c r="V163" s="182">
        <v>1.46</v>
      </c>
      <c r="W163" s="183">
        <v>23</v>
      </c>
      <c r="X163" s="185">
        <v>21</v>
      </c>
      <c r="Y163" s="183">
        <v>214884555</v>
      </c>
      <c r="Z163" s="179" t="s">
        <v>270</v>
      </c>
      <c r="AA163" s="183">
        <v>1920090</v>
      </c>
      <c r="AB163" s="184">
        <v>3310500</v>
      </c>
      <c r="AC163" s="184">
        <v>5263695</v>
      </c>
      <c r="AD163" s="184">
        <v>695205</v>
      </c>
      <c r="AE163" s="184">
        <v>3575340</v>
      </c>
      <c r="AF163" s="177" t="s">
        <v>200</v>
      </c>
      <c r="AG163" s="184">
        <v>1853880</v>
      </c>
      <c r="AH163" s="184">
        <v>1622145</v>
      </c>
      <c r="AI163" s="184">
        <v>7216890</v>
      </c>
      <c r="AJ163" s="184">
        <v>16453185</v>
      </c>
      <c r="AK163" s="184">
        <v>2582190</v>
      </c>
      <c r="AL163" s="184">
        <v>9765975</v>
      </c>
      <c r="AM163" s="184">
        <v>728310</v>
      </c>
      <c r="AN163" s="184">
        <v>2780820</v>
      </c>
      <c r="AO163" s="184">
        <v>794520</v>
      </c>
      <c r="AP163" s="184">
        <v>16519395</v>
      </c>
      <c r="AQ163" s="184">
        <v>33105</v>
      </c>
      <c r="AR163" s="184">
        <v>16453185</v>
      </c>
      <c r="AS163" s="184">
        <v>24232860</v>
      </c>
      <c r="AT163" s="184">
        <v>0</v>
      </c>
      <c r="AU163" s="184">
        <v>529680</v>
      </c>
      <c r="AV163" s="184">
        <v>0</v>
      </c>
      <c r="AW163" s="184">
        <v>397260</v>
      </c>
      <c r="AX163" s="184">
        <v>41182620</v>
      </c>
      <c r="AY163" s="184">
        <v>331050</v>
      </c>
      <c r="AZ163" s="184">
        <v>16155240</v>
      </c>
      <c r="BA163" s="184">
        <v>5826480</v>
      </c>
      <c r="BB163" s="184">
        <v>1257990</v>
      </c>
      <c r="BC163" s="177" t="s">
        <v>200</v>
      </c>
      <c r="BD163" s="184">
        <v>3442920</v>
      </c>
      <c r="BE163" s="184">
        <v>2946345</v>
      </c>
      <c r="BF163" s="184">
        <v>1158675</v>
      </c>
      <c r="BG163" s="184">
        <v>23305920</v>
      </c>
      <c r="BH163" s="184">
        <v>827625</v>
      </c>
      <c r="BI163" s="184">
        <v>1721460</v>
      </c>
      <c r="BJ163" s="187" t="s">
        <v>200</v>
      </c>
    </row>
    <row r="164" spans="2:62" x14ac:dyDescent="0.2">
      <c r="B164" s="175">
        <v>45761</v>
      </c>
      <c r="C164" s="176">
        <v>45761.458869155096</v>
      </c>
      <c r="D164" s="177" t="s">
        <v>267</v>
      </c>
      <c r="E164" s="178" t="s">
        <v>268</v>
      </c>
      <c r="F164" s="179" t="s">
        <v>269</v>
      </c>
      <c r="G164" s="180">
        <v>64.599999999999994</v>
      </c>
      <c r="H164" s="181">
        <v>61</v>
      </c>
      <c r="I164" s="181">
        <v>85</v>
      </c>
      <c r="J164" s="181">
        <v>64.7</v>
      </c>
      <c r="K164" s="182">
        <v>64.44</v>
      </c>
      <c r="L164" s="183">
        <v>3245500</v>
      </c>
      <c r="M164" s="184">
        <v>5148500</v>
      </c>
      <c r="N164" s="184">
        <v>110</v>
      </c>
      <c r="O164" s="184">
        <v>40</v>
      </c>
      <c r="P164" s="181">
        <v>3.79</v>
      </c>
      <c r="Q164" s="184">
        <v>46805</v>
      </c>
      <c r="R164" s="184">
        <v>177534</v>
      </c>
      <c r="S164" s="184">
        <v>227160</v>
      </c>
      <c r="T164" s="184">
        <v>147523</v>
      </c>
      <c r="U164" s="184">
        <v>209767</v>
      </c>
      <c r="V164" s="182">
        <v>1.59</v>
      </c>
      <c r="W164" s="183">
        <v>29</v>
      </c>
      <c r="X164" s="185">
        <v>22</v>
      </c>
      <c r="Y164" s="183">
        <v>209659300</v>
      </c>
      <c r="Z164" s="179" t="s">
        <v>270</v>
      </c>
      <c r="AA164" s="183">
        <v>1873400</v>
      </c>
      <c r="AB164" s="184">
        <v>3230000</v>
      </c>
      <c r="AC164" s="184">
        <v>5135700</v>
      </c>
      <c r="AD164" s="184">
        <v>678300</v>
      </c>
      <c r="AE164" s="184">
        <v>3488400</v>
      </c>
      <c r="AF164" s="177" t="s">
        <v>200</v>
      </c>
      <c r="AG164" s="184">
        <v>1808800</v>
      </c>
      <c r="AH164" s="184">
        <v>1582700</v>
      </c>
      <c r="AI164" s="184">
        <v>7041400</v>
      </c>
      <c r="AJ164" s="184">
        <v>16053100</v>
      </c>
      <c r="AK164" s="184">
        <v>2519400</v>
      </c>
      <c r="AL164" s="184">
        <v>9528500</v>
      </c>
      <c r="AM164" s="184">
        <v>710600</v>
      </c>
      <c r="AN164" s="184">
        <v>2713200</v>
      </c>
      <c r="AO164" s="184">
        <v>775200</v>
      </c>
      <c r="AP164" s="184">
        <v>16117700</v>
      </c>
      <c r="AQ164" s="184">
        <v>32300</v>
      </c>
      <c r="AR164" s="184">
        <v>16053100</v>
      </c>
      <c r="AS164" s="184">
        <v>23643600</v>
      </c>
      <c r="AT164" s="184">
        <v>0</v>
      </c>
      <c r="AU164" s="184">
        <v>516800</v>
      </c>
      <c r="AV164" s="184">
        <v>0</v>
      </c>
      <c r="AW164" s="184">
        <v>387600</v>
      </c>
      <c r="AX164" s="184">
        <v>40181200</v>
      </c>
      <c r="AY164" s="184">
        <v>323000</v>
      </c>
      <c r="AZ164" s="184">
        <v>15762400</v>
      </c>
      <c r="BA164" s="184">
        <v>5684800</v>
      </c>
      <c r="BB164" s="184">
        <v>1227400</v>
      </c>
      <c r="BC164" s="177" t="s">
        <v>200</v>
      </c>
      <c r="BD164" s="184">
        <v>3359200</v>
      </c>
      <c r="BE164" s="184">
        <v>2874700</v>
      </c>
      <c r="BF164" s="184">
        <v>1130500</v>
      </c>
      <c r="BG164" s="184">
        <v>22739200</v>
      </c>
      <c r="BH164" s="184">
        <v>807500</v>
      </c>
      <c r="BI164" s="184">
        <v>1679600</v>
      </c>
      <c r="BJ164" s="187" t="s">
        <v>200</v>
      </c>
    </row>
    <row r="165" spans="2:62" x14ac:dyDescent="0.2">
      <c r="B165" s="175">
        <v>45758</v>
      </c>
      <c r="C165" s="176">
        <v>45758.45869579861</v>
      </c>
      <c r="D165" s="177" t="s">
        <v>271</v>
      </c>
      <c r="E165" s="178" t="s">
        <v>268</v>
      </c>
      <c r="F165" s="179" t="s">
        <v>269</v>
      </c>
      <c r="G165" s="180">
        <v>61.01</v>
      </c>
      <c r="H165" s="181">
        <v>58.7</v>
      </c>
      <c r="I165" s="181">
        <v>90</v>
      </c>
      <c r="J165" s="181">
        <v>61.4</v>
      </c>
      <c r="K165" s="182">
        <v>60.78</v>
      </c>
      <c r="L165" s="183">
        <v>1607000</v>
      </c>
      <c r="M165" s="184">
        <v>3480000</v>
      </c>
      <c r="N165" s="184">
        <v>87</v>
      </c>
      <c r="O165" s="184">
        <v>22</v>
      </c>
      <c r="P165" s="181">
        <v>3.48</v>
      </c>
      <c r="Q165" s="184">
        <v>40000</v>
      </c>
      <c r="R165" s="184">
        <v>139200</v>
      </c>
      <c r="S165" s="184">
        <v>179760</v>
      </c>
      <c r="T165" s="184">
        <v>114786</v>
      </c>
      <c r="U165" s="184">
        <v>187213</v>
      </c>
      <c r="V165" s="182">
        <v>2.17</v>
      </c>
      <c r="W165" s="183">
        <v>25</v>
      </c>
      <c r="X165" s="185">
        <v>14</v>
      </c>
      <c r="Y165" s="183">
        <v>98043070</v>
      </c>
      <c r="Z165" s="179" t="s">
        <v>272</v>
      </c>
      <c r="AA165" s="186" t="s">
        <v>200</v>
      </c>
      <c r="AB165" s="177" t="s">
        <v>200</v>
      </c>
      <c r="AC165" s="177" t="s">
        <v>200</v>
      </c>
      <c r="AD165" s="177" t="s">
        <v>200</v>
      </c>
      <c r="AE165" s="177" t="s">
        <v>200</v>
      </c>
      <c r="AF165" s="184">
        <v>98043070</v>
      </c>
      <c r="AG165" s="177" t="s">
        <v>200</v>
      </c>
      <c r="AH165" s="177" t="s">
        <v>200</v>
      </c>
      <c r="AI165" s="177" t="s">
        <v>200</v>
      </c>
      <c r="AJ165" s="177" t="s">
        <v>200</v>
      </c>
      <c r="AK165" s="177" t="s">
        <v>200</v>
      </c>
      <c r="AL165" s="177" t="s">
        <v>200</v>
      </c>
      <c r="AM165" s="177" t="s">
        <v>200</v>
      </c>
      <c r="AN165" s="177" t="s">
        <v>200</v>
      </c>
      <c r="AO165" s="177" t="s">
        <v>200</v>
      </c>
      <c r="AP165" s="177" t="s">
        <v>200</v>
      </c>
      <c r="AQ165" s="177" t="s">
        <v>200</v>
      </c>
      <c r="AR165" s="177" t="s">
        <v>200</v>
      </c>
      <c r="AS165" s="177" t="s">
        <v>200</v>
      </c>
      <c r="AT165" s="177" t="s">
        <v>200</v>
      </c>
      <c r="AU165" s="177" t="s">
        <v>200</v>
      </c>
      <c r="AV165" s="177" t="s">
        <v>200</v>
      </c>
      <c r="AW165" s="177" t="s">
        <v>200</v>
      </c>
      <c r="AX165" s="177" t="s">
        <v>200</v>
      </c>
      <c r="AY165" s="177" t="s">
        <v>200</v>
      </c>
      <c r="AZ165" s="177" t="s">
        <v>200</v>
      </c>
      <c r="BA165" s="177" t="s">
        <v>200</v>
      </c>
      <c r="BB165" s="177" t="s">
        <v>200</v>
      </c>
      <c r="BC165" s="177" t="s">
        <v>200</v>
      </c>
      <c r="BD165" s="177" t="s">
        <v>200</v>
      </c>
      <c r="BE165" s="177" t="s">
        <v>200</v>
      </c>
      <c r="BF165" s="177" t="s">
        <v>200</v>
      </c>
      <c r="BG165" s="177" t="s">
        <v>200</v>
      </c>
      <c r="BH165" s="177" t="s">
        <v>200</v>
      </c>
      <c r="BI165" s="177" t="s">
        <v>200</v>
      </c>
      <c r="BJ165" s="187" t="s">
        <v>200</v>
      </c>
    </row>
    <row r="166" spans="2:62" x14ac:dyDescent="0.2">
      <c r="B166" s="175">
        <v>45757</v>
      </c>
      <c r="C166" s="176">
        <v>45757.458693541666</v>
      </c>
      <c r="D166" s="177" t="s">
        <v>267</v>
      </c>
      <c r="E166" s="178" t="s">
        <v>268</v>
      </c>
      <c r="F166" s="179" t="s">
        <v>269</v>
      </c>
      <c r="G166" s="180">
        <v>62.08</v>
      </c>
      <c r="H166" s="181">
        <v>60.15</v>
      </c>
      <c r="I166" s="181">
        <v>65</v>
      </c>
      <c r="J166" s="181">
        <v>62.23</v>
      </c>
      <c r="K166" s="182">
        <v>62.18</v>
      </c>
      <c r="L166" s="183">
        <v>3245500</v>
      </c>
      <c r="M166" s="184">
        <v>4313500</v>
      </c>
      <c r="N166" s="184">
        <v>83</v>
      </c>
      <c r="O166" s="184">
        <v>53</v>
      </c>
      <c r="P166" s="181">
        <v>3.77</v>
      </c>
      <c r="Q166" s="184">
        <v>51970</v>
      </c>
      <c r="R166" s="184">
        <v>196068</v>
      </c>
      <c r="S166" s="184">
        <v>249203</v>
      </c>
      <c r="T166" s="184">
        <v>154548</v>
      </c>
      <c r="U166" s="184">
        <v>223094</v>
      </c>
      <c r="V166" s="182">
        <v>1.33</v>
      </c>
      <c r="W166" s="183">
        <v>22</v>
      </c>
      <c r="X166" s="185">
        <v>21</v>
      </c>
      <c r="Y166" s="183">
        <v>201480640</v>
      </c>
      <c r="Z166" s="179" t="s">
        <v>270</v>
      </c>
      <c r="AA166" s="183">
        <v>1800320</v>
      </c>
      <c r="AB166" s="184">
        <v>3104000</v>
      </c>
      <c r="AC166" s="184">
        <v>4935360</v>
      </c>
      <c r="AD166" s="184">
        <v>651840</v>
      </c>
      <c r="AE166" s="184">
        <v>3352320</v>
      </c>
      <c r="AF166" s="177" t="s">
        <v>200</v>
      </c>
      <c r="AG166" s="184">
        <v>1738240</v>
      </c>
      <c r="AH166" s="184">
        <v>1520960</v>
      </c>
      <c r="AI166" s="184">
        <v>6766720</v>
      </c>
      <c r="AJ166" s="184">
        <v>15426880</v>
      </c>
      <c r="AK166" s="184">
        <v>2421120</v>
      </c>
      <c r="AL166" s="184">
        <v>9156800</v>
      </c>
      <c r="AM166" s="184">
        <v>682880</v>
      </c>
      <c r="AN166" s="184">
        <v>2607360</v>
      </c>
      <c r="AO166" s="184">
        <v>744960</v>
      </c>
      <c r="AP166" s="184">
        <v>15488960</v>
      </c>
      <c r="AQ166" s="184">
        <v>31040</v>
      </c>
      <c r="AR166" s="184">
        <v>15426880</v>
      </c>
      <c r="AS166" s="184">
        <v>22721280</v>
      </c>
      <c r="AT166" s="184">
        <v>0</v>
      </c>
      <c r="AU166" s="184">
        <v>496640</v>
      </c>
      <c r="AV166" s="184">
        <v>0</v>
      </c>
      <c r="AW166" s="184">
        <v>372480</v>
      </c>
      <c r="AX166" s="184">
        <v>38613760</v>
      </c>
      <c r="AY166" s="184">
        <v>310400</v>
      </c>
      <c r="AZ166" s="184">
        <v>15147520</v>
      </c>
      <c r="BA166" s="184">
        <v>5463040</v>
      </c>
      <c r="BB166" s="184">
        <v>1179520</v>
      </c>
      <c r="BC166" s="177" t="s">
        <v>200</v>
      </c>
      <c r="BD166" s="184">
        <v>3228160</v>
      </c>
      <c r="BE166" s="184">
        <v>2762560</v>
      </c>
      <c r="BF166" s="184">
        <v>1086400</v>
      </c>
      <c r="BG166" s="184">
        <v>21852160</v>
      </c>
      <c r="BH166" s="184">
        <v>776000</v>
      </c>
      <c r="BI166" s="184">
        <v>1614080</v>
      </c>
      <c r="BJ166" s="187" t="s">
        <v>200</v>
      </c>
    </row>
    <row r="167" spans="2:62" x14ac:dyDescent="0.2">
      <c r="B167" s="175">
        <v>45755</v>
      </c>
      <c r="C167" s="176">
        <v>45755.458999780094</v>
      </c>
      <c r="D167" s="177" t="s">
        <v>267</v>
      </c>
      <c r="E167" s="178" t="s">
        <v>268</v>
      </c>
      <c r="F167" s="179" t="s">
        <v>269</v>
      </c>
      <c r="G167" s="180">
        <v>60.35</v>
      </c>
      <c r="H167" s="181">
        <v>58.01</v>
      </c>
      <c r="I167" s="181">
        <v>120</v>
      </c>
      <c r="J167" s="181">
        <v>61.14</v>
      </c>
      <c r="K167" s="182">
        <v>60.22</v>
      </c>
      <c r="L167" s="183">
        <v>3245500</v>
      </c>
      <c r="M167" s="184">
        <v>5272500</v>
      </c>
      <c r="N167" s="184">
        <v>104</v>
      </c>
      <c r="O167" s="184">
        <v>40</v>
      </c>
      <c r="P167" s="181">
        <v>4</v>
      </c>
      <c r="Q167" s="184">
        <v>50697</v>
      </c>
      <c r="R167" s="184">
        <v>202788</v>
      </c>
      <c r="S167" s="184">
        <v>196620</v>
      </c>
      <c r="T167" s="184">
        <v>154548</v>
      </c>
      <c r="U167" s="184">
        <v>167153</v>
      </c>
      <c r="V167" s="182">
        <v>1.62</v>
      </c>
      <c r="W167" s="183">
        <v>26</v>
      </c>
      <c r="X167" s="185">
        <v>21</v>
      </c>
      <c r="Y167" s="183">
        <v>195865925</v>
      </c>
      <c r="Z167" s="179" t="s">
        <v>270</v>
      </c>
      <c r="AA167" s="183">
        <v>1750150</v>
      </c>
      <c r="AB167" s="184">
        <v>3017500</v>
      </c>
      <c r="AC167" s="184">
        <v>4797825</v>
      </c>
      <c r="AD167" s="184">
        <v>633675</v>
      </c>
      <c r="AE167" s="184">
        <v>3258900</v>
      </c>
      <c r="AF167" s="177" t="s">
        <v>200</v>
      </c>
      <c r="AG167" s="184">
        <v>1689800</v>
      </c>
      <c r="AH167" s="184">
        <v>1478575</v>
      </c>
      <c r="AI167" s="184">
        <v>6578150</v>
      </c>
      <c r="AJ167" s="184">
        <v>14996975</v>
      </c>
      <c r="AK167" s="184">
        <v>2353650</v>
      </c>
      <c r="AL167" s="184">
        <v>8901625</v>
      </c>
      <c r="AM167" s="184">
        <v>663850</v>
      </c>
      <c r="AN167" s="184">
        <v>2534700</v>
      </c>
      <c r="AO167" s="184">
        <v>724200</v>
      </c>
      <c r="AP167" s="184">
        <v>15057325</v>
      </c>
      <c r="AQ167" s="184">
        <v>30175</v>
      </c>
      <c r="AR167" s="184">
        <v>14996975</v>
      </c>
      <c r="AS167" s="184">
        <v>22088100</v>
      </c>
      <c r="AT167" s="184">
        <v>0</v>
      </c>
      <c r="AU167" s="184">
        <v>482800</v>
      </c>
      <c r="AV167" s="184">
        <v>0</v>
      </c>
      <c r="AW167" s="184">
        <v>362100</v>
      </c>
      <c r="AX167" s="184">
        <v>37537700</v>
      </c>
      <c r="AY167" s="184">
        <v>301750</v>
      </c>
      <c r="AZ167" s="184">
        <v>14725400</v>
      </c>
      <c r="BA167" s="184">
        <v>5310800</v>
      </c>
      <c r="BB167" s="184">
        <v>1146650</v>
      </c>
      <c r="BC167" s="177" t="s">
        <v>200</v>
      </c>
      <c r="BD167" s="184">
        <v>3138200</v>
      </c>
      <c r="BE167" s="184">
        <v>2685575</v>
      </c>
      <c r="BF167" s="184">
        <v>1056125</v>
      </c>
      <c r="BG167" s="184">
        <v>21243200</v>
      </c>
      <c r="BH167" s="184">
        <v>754375</v>
      </c>
      <c r="BI167" s="184">
        <v>1569100</v>
      </c>
      <c r="BJ167" s="187" t="s">
        <v>200</v>
      </c>
    </row>
    <row r="168" spans="2:62" x14ac:dyDescent="0.2">
      <c r="B168" s="175">
        <v>45754</v>
      </c>
      <c r="C168" s="176">
        <v>45754.458599641206</v>
      </c>
      <c r="D168" s="177" t="s">
        <v>267</v>
      </c>
      <c r="E168" s="178" t="s">
        <v>268</v>
      </c>
      <c r="F168" s="179" t="s">
        <v>269</v>
      </c>
      <c r="G168" s="180">
        <v>59.76</v>
      </c>
      <c r="H168" s="181">
        <v>58.12</v>
      </c>
      <c r="I168" s="181">
        <v>120</v>
      </c>
      <c r="J168" s="181">
        <v>61.21</v>
      </c>
      <c r="K168" s="182">
        <v>59.72</v>
      </c>
      <c r="L168" s="183">
        <v>3245500</v>
      </c>
      <c r="M168" s="184">
        <v>5313500</v>
      </c>
      <c r="N168" s="184">
        <v>98</v>
      </c>
      <c r="O168" s="184">
        <v>47</v>
      </c>
      <c r="P168" s="181">
        <v>3.92</v>
      </c>
      <c r="Q168" s="184">
        <v>54219</v>
      </c>
      <c r="R168" s="184">
        <v>212540</v>
      </c>
      <c r="S168" s="184">
        <v>276880</v>
      </c>
      <c r="T168" s="184">
        <v>147523</v>
      </c>
      <c r="U168" s="184">
        <v>237280</v>
      </c>
      <c r="V168" s="182">
        <v>1.64</v>
      </c>
      <c r="W168" s="183">
        <v>25</v>
      </c>
      <c r="X168" s="185">
        <v>22</v>
      </c>
      <c r="Y168" s="183">
        <v>193951080</v>
      </c>
      <c r="Z168" s="179" t="s">
        <v>270</v>
      </c>
      <c r="AA168" s="183">
        <v>1733040</v>
      </c>
      <c r="AB168" s="184">
        <v>2988000</v>
      </c>
      <c r="AC168" s="184">
        <v>4750920</v>
      </c>
      <c r="AD168" s="184">
        <v>627480</v>
      </c>
      <c r="AE168" s="184">
        <v>3227040</v>
      </c>
      <c r="AF168" s="177" t="s">
        <v>200</v>
      </c>
      <c r="AG168" s="184">
        <v>1673280</v>
      </c>
      <c r="AH168" s="184">
        <v>1464120</v>
      </c>
      <c r="AI168" s="184">
        <v>6513840</v>
      </c>
      <c r="AJ168" s="184">
        <v>14850360</v>
      </c>
      <c r="AK168" s="184">
        <v>2330640</v>
      </c>
      <c r="AL168" s="184">
        <v>8814600</v>
      </c>
      <c r="AM168" s="184">
        <v>657360</v>
      </c>
      <c r="AN168" s="184">
        <v>2509920</v>
      </c>
      <c r="AO168" s="184">
        <v>717120</v>
      </c>
      <c r="AP168" s="184">
        <v>14910120</v>
      </c>
      <c r="AQ168" s="184">
        <v>29880</v>
      </c>
      <c r="AR168" s="184">
        <v>14850360</v>
      </c>
      <c r="AS168" s="184">
        <v>21872160</v>
      </c>
      <c r="AT168" s="184">
        <v>0</v>
      </c>
      <c r="AU168" s="184">
        <v>478080</v>
      </c>
      <c r="AV168" s="184">
        <v>0</v>
      </c>
      <c r="AW168" s="184">
        <v>358560</v>
      </c>
      <c r="AX168" s="184">
        <v>37170720</v>
      </c>
      <c r="AY168" s="184">
        <v>298800</v>
      </c>
      <c r="AZ168" s="184">
        <v>14581440</v>
      </c>
      <c r="BA168" s="184">
        <v>5258880</v>
      </c>
      <c r="BB168" s="184">
        <v>1135440</v>
      </c>
      <c r="BC168" s="177" t="s">
        <v>200</v>
      </c>
      <c r="BD168" s="184">
        <v>3107520</v>
      </c>
      <c r="BE168" s="184">
        <v>2659320</v>
      </c>
      <c r="BF168" s="184">
        <v>1045800</v>
      </c>
      <c r="BG168" s="184">
        <v>21035520</v>
      </c>
      <c r="BH168" s="184">
        <v>747000</v>
      </c>
      <c r="BI168" s="184">
        <v>1553760</v>
      </c>
      <c r="BJ168" s="187" t="s">
        <v>200</v>
      </c>
    </row>
    <row r="169" spans="2:62" x14ac:dyDescent="0.2">
      <c r="B169" s="175">
        <v>45751</v>
      </c>
      <c r="C169" s="176">
        <v>45751.458549120369</v>
      </c>
      <c r="D169" s="177" t="s">
        <v>271</v>
      </c>
      <c r="E169" s="178" t="s">
        <v>268</v>
      </c>
      <c r="F169" s="179" t="s">
        <v>269</v>
      </c>
      <c r="G169" s="180">
        <v>63.8</v>
      </c>
      <c r="H169" s="181">
        <v>60</v>
      </c>
      <c r="I169" s="181">
        <v>85</v>
      </c>
      <c r="J169" s="181">
        <v>64.2</v>
      </c>
      <c r="K169" s="182">
        <v>63.69</v>
      </c>
      <c r="L169" s="183">
        <v>1607000</v>
      </c>
      <c r="M169" s="184">
        <v>3117500</v>
      </c>
      <c r="N169" s="184">
        <v>91</v>
      </c>
      <c r="O169" s="184">
        <v>34</v>
      </c>
      <c r="P169" s="181">
        <v>3.79</v>
      </c>
      <c r="Q169" s="184">
        <v>34258</v>
      </c>
      <c r="R169" s="184">
        <v>129896</v>
      </c>
      <c r="S169" s="184">
        <v>154333</v>
      </c>
      <c r="T169" s="184">
        <v>80350</v>
      </c>
      <c r="U169" s="184">
        <v>123233</v>
      </c>
      <c r="V169" s="182">
        <v>1.94</v>
      </c>
      <c r="W169" s="183">
        <v>24</v>
      </c>
      <c r="X169" s="185">
        <v>20</v>
      </c>
      <c r="Y169" s="183">
        <v>102526600</v>
      </c>
      <c r="Z169" s="179" t="s">
        <v>272</v>
      </c>
      <c r="AA169" s="186" t="s">
        <v>200</v>
      </c>
      <c r="AB169" s="177" t="s">
        <v>200</v>
      </c>
      <c r="AC169" s="177" t="s">
        <v>200</v>
      </c>
      <c r="AD169" s="177" t="s">
        <v>200</v>
      </c>
      <c r="AE169" s="177" t="s">
        <v>200</v>
      </c>
      <c r="AF169" s="184">
        <v>102526600</v>
      </c>
      <c r="AG169" s="177" t="s">
        <v>200</v>
      </c>
      <c r="AH169" s="177" t="s">
        <v>200</v>
      </c>
      <c r="AI169" s="177" t="s">
        <v>200</v>
      </c>
      <c r="AJ169" s="177" t="s">
        <v>200</v>
      </c>
      <c r="AK169" s="177" t="s">
        <v>200</v>
      </c>
      <c r="AL169" s="177" t="s">
        <v>200</v>
      </c>
      <c r="AM169" s="177" t="s">
        <v>200</v>
      </c>
      <c r="AN169" s="177" t="s">
        <v>200</v>
      </c>
      <c r="AO169" s="177" t="s">
        <v>200</v>
      </c>
      <c r="AP169" s="177" t="s">
        <v>200</v>
      </c>
      <c r="AQ169" s="177" t="s">
        <v>200</v>
      </c>
      <c r="AR169" s="177" t="s">
        <v>200</v>
      </c>
      <c r="AS169" s="177" t="s">
        <v>200</v>
      </c>
      <c r="AT169" s="177" t="s">
        <v>200</v>
      </c>
      <c r="AU169" s="177" t="s">
        <v>200</v>
      </c>
      <c r="AV169" s="177" t="s">
        <v>200</v>
      </c>
      <c r="AW169" s="177" t="s">
        <v>200</v>
      </c>
      <c r="AX169" s="177" t="s">
        <v>200</v>
      </c>
      <c r="AY169" s="177" t="s">
        <v>200</v>
      </c>
      <c r="AZ169" s="177" t="s">
        <v>200</v>
      </c>
      <c r="BA169" s="177" t="s">
        <v>200</v>
      </c>
      <c r="BB169" s="177" t="s">
        <v>200</v>
      </c>
      <c r="BC169" s="177" t="s">
        <v>200</v>
      </c>
      <c r="BD169" s="177" t="s">
        <v>200</v>
      </c>
      <c r="BE169" s="177" t="s">
        <v>200</v>
      </c>
      <c r="BF169" s="177" t="s">
        <v>200</v>
      </c>
      <c r="BG169" s="177" t="s">
        <v>200</v>
      </c>
      <c r="BH169" s="177" t="s">
        <v>200</v>
      </c>
      <c r="BI169" s="177" t="s">
        <v>200</v>
      </c>
      <c r="BJ169" s="187" t="s">
        <v>200</v>
      </c>
    </row>
    <row r="170" spans="2:62" x14ac:dyDescent="0.2">
      <c r="B170" s="175">
        <v>45750</v>
      </c>
      <c r="C170" s="176">
        <v>45750.458712500003</v>
      </c>
      <c r="D170" s="177" t="s">
        <v>267</v>
      </c>
      <c r="E170" s="178" t="s">
        <v>268</v>
      </c>
      <c r="F170" s="179" t="s">
        <v>269</v>
      </c>
      <c r="G170" s="180">
        <v>65.75</v>
      </c>
      <c r="H170" s="181">
        <v>60.4</v>
      </c>
      <c r="I170" s="181">
        <v>70</v>
      </c>
      <c r="J170" s="181">
        <v>65.650000000000006</v>
      </c>
      <c r="K170" s="182">
        <v>65.55</v>
      </c>
      <c r="L170" s="183">
        <v>3245500</v>
      </c>
      <c r="M170" s="184">
        <v>5902500</v>
      </c>
      <c r="N170" s="184">
        <v>113</v>
      </c>
      <c r="O170" s="184">
        <v>34</v>
      </c>
      <c r="P170" s="181">
        <v>3.9</v>
      </c>
      <c r="Q170" s="184">
        <v>52235</v>
      </c>
      <c r="R170" s="184">
        <v>203534</v>
      </c>
      <c r="S170" s="184">
        <v>283384</v>
      </c>
      <c r="T170" s="184">
        <v>180306</v>
      </c>
      <c r="U170" s="184">
        <v>301094</v>
      </c>
      <c r="V170" s="182">
        <v>1.82</v>
      </c>
      <c r="W170" s="183">
        <v>29</v>
      </c>
      <c r="X170" s="185">
        <v>18</v>
      </c>
      <c r="Y170" s="183">
        <v>213391625</v>
      </c>
      <c r="Z170" s="179" t="s">
        <v>270</v>
      </c>
      <c r="AA170" s="183">
        <v>1906750</v>
      </c>
      <c r="AB170" s="184">
        <v>3287500</v>
      </c>
      <c r="AC170" s="184">
        <v>5227125</v>
      </c>
      <c r="AD170" s="184">
        <v>690375</v>
      </c>
      <c r="AE170" s="184">
        <v>3550500</v>
      </c>
      <c r="AF170" s="177" t="s">
        <v>200</v>
      </c>
      <c r="AG170" s="184">
        <v>1841000</v>
      </c>
      <c r="AH170" s="184">
        <v>1610875</v>
      </c>
      <c r="AI170" s="184">
        <v>7166750</v>
      </c>
      <c r="AJ170" s="184">
        <v>16338875</v>
      </c>
      <c r="AK170" s="184">
        <v>2564250</v>
      </c>
      <c r="AL170" s="184">
        <v>9698125</v>
      </c>
      <c r="AM170" s="184">
        <v>723250</v>
      </c>
      <c r="AN170" s="184">
        <v>2761500</v>
      </c>
      <c r="AO170" s="184">
        <v>789000</v>
      </c>
      <c r="AP170" s="184">
        <v>16404625</v>
      </c>
      <c r="AQ170" s="184">
        <v>32875</v>
      </c>
      <c r="AR170" s="184">
        <v>16338875</v>
      </c>
      <c r="AS170" s="184">
        <v>24064500</v>
      </c>
      <c r="AT170" s="184">
        <v>0</v>
      </c>
      <c r="AU170" s="184">
        <v>526000</v>
      </c>
      <c r="AV170" s="184">
        <v>0</v>
      </c>
      <c r="AW170" s="184">
        <v>394500</v>
      </c>
      <c r="AX170" s="184">
        <v>40896500</v>
      </c>
      <c r="AY170" s="184">
        <v>328750</v>
      </c>
      <c r="AZ170" s="184">
        <v>16043000</v>
      </c>
      <c r="BA170" s="184">
        <v>5786000</v>
      </c>
      <c r="BB170" s="184">
        <v>1249250</v>
      </c>
      <c r="BC170" s="177" t="s">
        <v>200</v>
      </c>
      <c r="BD170" s="184">
        <v>3419000</v>
      </c>
      <c r="BE170" s="184">
        <v>2925875</v>
      </c>
      <c r="BF170" s="184">
        <v>1150625</v>
      </c>
      <c r="BG170" s="184">
        <v>23144000</v>
      </c>
      <c r="BH170" s="184">
        <v>821875</v>
      </c>
      <c r="BI170" s="184">
        <v>1709500</v>
      </c>
      <c r="BJ170" s="187" t="s">
        <v>200</v>
      </c>
    </row>
    <row r="171" spans="2:62" x14ac:dyDescent="0.2">
      <c r="B171" s="175">
        <v>45749</v>
      </c>
      <c r="C171" s="176">
        <v>45749.458569178241</v>
      </c>
      <c r="D171" s="177" t="s">
        <v>273</v>
      </c>
      <c r="E171" s="178" t="s">
        <v>268</v>
      </c>
      <c r="F171" s="179" t="s">
        <v>269</v>
      </c>
      <c r="G171" s="180">
        <v>68.62</v>
      </c>
      <c r="H171" s="181">
        <v>65</v>
      </c>
      <c r="I171" s="181">
        <v>120</v>
      </c>
      <c r="J171" s="181">
        <v>69.069999999999993</v>
      </c>
      <c r="K171" s="182">
        <v>68.38</v>
      </c>
      <c r="L171" s="183">
        <v>2072500</v>
      </c>
      <c r="M171" s="184">
        <v>4254500</v>
      </c>
      <c r="N171" s="184">
        <v>103</v>
      </c>
      <c r="O171" s="184">
        <v>26</v>
      </c>
      <c r="P171" s="181">
        <v>3.96</v>
      </c>
      <c r="Q171" s="184">
        <v>41306</v>
      </c>
      <c r="R171" s="184">
        <v>163635</v>
      </c>
      <c r="S171" s="184">
        <v>152556</v>
      </c>
      <c r="T171" s="184">
        <v>138167</v>
      </c>
      <c r="U171" s="184">
        <v>135483</v>
      </c>
      <c r="V171" s="182">
        <v>2.0499999999999998</v>
      </c>
      <c r="W171" s="183">
        <v>26</v>
      </c>
      <c r="X171" s="185">
        <v>15</v>
      </c>
      <c r="Y171" s="183">
        <v>142214950</v>
      </c>
      <c r="Z171" s="179" t="s">
        <v>274</v>
      </c>
      <c r="AA171" s="186" t="s">
        <v>200</v>
      </c>
      <c r="AB171" s="177" t="s">
        <v>200</v>
      </c>
      <c r="AC171" s="177" t="s">
        <v>200</v>
      </c>
      <c r="AD171" s="177" t="s">
        <v>200</v>
      </c>
      <c r="AE171" s="177" t="s">
        <v>200</v>
      </c>
      <c r="AF171" s="177" t="s">
        <v>200</v>
      </c>
      <c r="AG171" s="177" t="s">
        <v>200</v>
      </c>
      <c r="AH171" s="177" t="s">
        <v>200</v>
      </c>
      <c r="AI171" s="177" t="s">
        <v>200</v>
      </c>
      <c r="AJ171" s="177" t="s">
        <v>200</v>
      </c>
      <c r="AK171" s="177" t="s">
        <v>200</v>
      </c>
      <c r="AL171" s="177" t="s">
        <v>200</v>
      </c>
      <c r="AM171" s="177" t="s">
        <v>200</v>
      </c>
      <c r="AN171" s="177" t="s">
        <v>200</v>
      </c>
      <c r="AO171" s="177" t="s">
        <v>200</v>
      </c>
      <c r="AP171" s="177" t="s">
        <v>200</v>
      </c>
      <c r="AQ171" s="177" t="s">
        <v>200</v>
      </c>
      <c r="AR171" s="177" t="s">
        <v>200</v>
      </c>
      <c r="AS171" s="177" t="s">
        <v>200</v>
      </c>
      <c r="AT171" s="177" t="s">
        <v>200</v>
      </c>
      <c r="AU171" s="177" t="s">
        <v>200</v>
      </c>
      <c r="AV171" s="177" t="s">
        <v>200</v>
      </c>
      <c r="AW171" s="177" t="s">
        <v>200</v>
      </c>
      <c r="AX171" s="177" t="s">
        <v>200</v>
      </c>
      <c r="AY171" s="177" t="s">
        <v>200</v>
      </c>
      <c r="AZ171" s="177" t="s">
        <v>200</v>
      </c>
      <c r="BA171" s="177" t="s">
        <v>200</v>
      </c>
      <c r="BB171" s="177" t="s">
        <v>200</v>
      </c>
      <c r="BC171" s="184">
        <v>142214950</v>
      </c>
      <c r="BD171" s="177" t="s">
        <v>200</v>
      </c>
      <c r="BE171" s="177" t="s">
        <v>200</v>
      </c>
      <c r="BF171" s="177" t="s">
        <v>200</v>
      </c>
      <c r="BG171" s="177" t="s">
        <v>200</v>
      </c>
      <c r="BH171" s="177" t="s">
        <v>200</v>
      </c>
      <c r="BI171" s="177" t="s">
        <v>200</v>
      </c>
      <c r="BJ171" s="187" t="s">
        <v>200</v>
      </c>
    </row>
    <row r="172" spans="2:62" x14ac:dyDescent="0.2">
      <c r="B172" s="175">
        <v>45748</v>
      </c>
      <c r="C172" s="176">
        <v>45748.458636423609</v>
      </c>
      <c r="D172" s="177" t="s">
        <v>267</v>
      </c>
      <c r="E172" s="178" t="s">
        <v>268</v>
      </c>
      <c r="F172" s="179" t="s">
        <v>269</v>
      </c>
      <c r="G172" s="180">
        <v>66.709999999999994</v>
      </c>
      <c r="H172" s="181">
        <v>61.93</v>
      </c>
      <c r="I172" s="181">
        <v>85</v>
      </c>
      <c r="J172" s="181">
        <v>66.63</v>
      </c>
      <c r="K172" s="182">
        <v>66.59</v>
      </c>
      <c r="L172" s="183">
        <v>3245500</v>
      </c>
      <c r="M172" s="184">
        <v>5031000</v>
      </c>
      <c r="N172" s="184">
        <v>112</v>
      </c>
      <c r="O172" s="184">
        <v>38</v>
      </c>
      <c r="P172" s="181">
        <v>4.87</v>
      </c>
      <c r="Q172" s="184">
        <v>44920</v>
      </c>
      <c r="R172" s="184">
        <v>218739</v>
      </c>
      <c r="S172" s="184">
        <v>223937</v>
      </c>
      <c r="T172" s="184">
        <v>170816</v>
      </c>
      <c r="U172" s="184">
        <v>195668</v>
      </c>
      <c r="V172" s="182">
        <v>1.55</v>
      </c>
      <c r="W172" s="183">
        <v>23</v>
      </c>
      <c r="X172" s="185">
        <v>19</v>
      </c>
      <c r="Y172" s="183">
        <v>216507305</v>
      </c>
      <c r="Z172" s="179" t="s">
        <v>270</v>
      </c>
      <c r="AA172" s="183">
        <v>1934590</v>
      </c>
      <c r="AB172" s="184">
        <v>3335500</v>
      </c>
      <c r="AC172" s="184">
        <v>5303445</v>
      </c>
      <c r="AD172" s="184">
        <v>700455</v>
      </c>
      <c r="AE172" s="184">
        <v>3602340</v>
      </c>
      <c r="AF172" s="177" t="s">
        <v>200</v>
      </c>
      <c r="AG172" s="184">
        <v>1867880</v>
      </c>
      <c r="AH172" s="184">
        <v>1634395</v>
      </c>
      <c r="AI172" s="184">
        <v>7271390</v>
      </c>
      <c r="AJ172" s="184">
        <v>16577435</v>
      </c>
      <c r="AK172" s="184">
        <v>2601690</v>
      </c>
      <c r="AL172" s="184">
        <v>9839725</v>
      </c>
      <c r="AM172" s="184">
        <v>733810</v>
      </c>
      <c r="AN172" s="184">
        <v>2801820</v>
      </c>
      <c r="AO172" s="184">
        <v>800520</v>
      </c>
      <c r="AP172" s="184">
        <v>16644145</v>
      </c>
      <c r="AQ172" s="184">
        <v>33355</v>
      </c>
      <c r="AR172" s="184">
        <v>16577435</v>
      </c>
      <c r="AS172" s="184">
        <v>24415860</v>
      </c>
      <c r="AT172" s="184">
        <v>0</v>
      </c>
      <c r="AU172" s="184">
        <v>533680</v>
      </c>
      <c r="AV172" s="184">
        <v>0</v>
      </c>
      <c r="AW172" s="184">
        <v>400260</v>
      </c>
      <c r="AX172" s="184">
        <v>41493620</v>
      </c>
      <c r="AY172" s="184">
        <v>333550</v>
      </c>
      <c r="AZ172" s="184">
        <v>16277240</v>
      </c>
      <c r="BA172" s="184">
        <v>5870480</v>
      </c>
      <c r="BB172" s="184">
        <v>1267490</v>
      </c>
      <c r="BC172" s="177" t="s">
        <v>200</v>
      </c>
      <c r="BD172" s="184">
        <v>3468920</v>
      </c>
      <c r="BE172" s="184">
        <v>2968595</v>
      </c>
      <c r="BF172" s="184">
        <v>1167425</v>
      </c>
      <c r="BG172" s="184">
        <v>23481920</v>
      </c>
      <c r="BH172" s="184">
        <v>833875</v>
      </c>
      <c r="BI172" s="184">
        <v>1734460</v>
      </c>
      <c r="BJ172" s="187" t="s">
        <v>200</v>
      </c>
    </row>
    <row r="173" spans="2:62" x14ac:dyDescent="0.2">
      <c r="B173" s="175">
        <v>45747</v>
      </c>
      <c r="C173" s="176">
        <v>45747.458670995373</v>
      </c>
      <c r="D173" s="177" t="s">
        <v>267</v>
      </c>
      <c r="E173" s="178" t="s">
        <v>268</v>
      </c>
      <c r="F173" s="179" t="s">
        <v>269</v>
      </c>
      <c r="G173" s="180">
        <v>66.8</v>
      </c>
      <c r="H173" s="181">
        <v>60</v>
      </c>
      <c r="I173" s="181">
        <v>85</v>
      </c>
      <c r="J173" s="181">
        <v>66.87</v>
      </c>
      <c r="K173" s="182">
        <v>66.66</v>
      </c>
      <c r="L173" s="183">
        <v>3246500</v>
      </c>
      <c r="M173" s="184">
        <v>5321000</v>
      </c>
      <c r="N173" s="184">
        <v>89</v>
      </c>
      <c r="O173" s="184">
        <v>33</v>
      </c>
      <c r="P173" s="181">
        <v>3.56</v>
      </c>
      <c r="Q173" s="184">
        <v>59787</v>
      </c>
      <c r="R173" s="184">
        <v>212840</v>
      </c>
      <c r="S173" s="184">
        <v>322374</v>
      </c>
      <c r="T173" s="184">
        <v>162325</v>
      </c>
      <c r="U173" s="184">
        <v>296279</v>
      </c>
      <c r="V173" s="182">
        <v>1.64</v>
      </c>
      <c r="W173" s="183">
        <v>25</v>
      </c>
      <c r="X173" s="185">
        <v>20</v>
      </c>
      <c r="Y173" s="183">
        <v>216866200</v>
      </c>
      <c r="Z173" s="179" t="s">
        <v>270</v>
      </c>
      <c r="AA173" s="183">
        <v>1937200</v>
      </c>
      <c r="AB173" s="184">
        <v>3340000</v>
      </c>
      <c r="AC173" s="184">
        <v>5310600</v>
      </c>
      <c r="AD173" s="184">
        <v>701400</v>
      </c>
      <c r="AE173" s="184">
        <v>3607200</v>
      </c>
      <c r="AF173" s="177" t="s">
        <v>200</v>
      </c>
      <c r="AG173" s="184">
        <v>1870400</v>
      </c>
      <c r="AH173" s="184">
        <v>1636600</v>
      </c>
      <c r="AI173" s="184">
        <v>7281200</v>
      </c>
      <c r="AJ173" s="184">
        <v>16599800</v>
      </c>
      <c r="AK173" s="184">
        <v>2605200</v>
      </c>
      <c r="AL173" s="184">
        <v>9853000</v>
      </c>
      <c r="AM173" s="184">
        <v>734800</v>
      </c>
      <c r="AN173" s="184">
        <v>2805600</v>
      </c>
      <c r="AO173" s="184">
        <v>801600</v>
      </c>
      <c r="AP173" s="184">
        <v>16666600</v>
      </c>
      <c r="AQ173" s="184">
        <v>33400</v>
      </c>
      <c r="AR173" s="184">
        <v>16599800</v>
      </c>
      <c r="AS173" s="184">
        <v>24448800</v>
      </c>
      <c r="AT173" s="184">
        <v>66800</v>
      </c>
      <c r="AU173" s="184">
        <v>534400</v>
      </c>
      <c r="AV173" s="184">
        <v>0</v>
      </c>
      <c r="AW173" s="184">
        <v>400800</v>
      </c>
      <c r="AX173" s="184">
        <v>41549600</v>
      </c>
      <c r="AY173" s="184">
        <v>334000</v>
      </c>
      <c r="AZ173" s="184">
        <v>16299200</v>
      </c>
      <c r="BA173" s="184">
        <v>5878400</v>
      </c>
      <c r="BB173" s="184">
        <v>1269200</v>
      </c>
      <c r="BC173" s="177" t="s">
        <v>200</v>
      </c>
      <c r="BD173" s="184">
        <v>3473600</v>
      </c>
      <c r="BE173" s="184">
        <v>2972600</v>
      </c>
      <c r="BF173" s="184">
        <v>1169000</v>
      </c>
      <c r="BG173" s="184">
        <v>23513600</v>
      </c>
      <c r="BH173" s="184">
        <v>835000</v>
      </c>
      <c r="BI173" s="184">
        <v>1736800</v>
      </c>
      <c r="BJ173" s="187" t="s">
        <v>200</v>
      </c>
    </row>
    <row r="174" spans="2:62" x14ac:dyDescent="0.2">
      <c r="B174" s="175">
        <v>45744</v>
      </c>
      <c r="C174" s="176">
        <v>45744.458735636574</v>
      </c>
      <c r="D174" s="177" t="s">
        <v>271</v>
      </c>
      <c r="E174" s="178" t="s">
        <v>268</v>
      </c>
      <c r="F174" s="179" t="s">
        <v>269</v>
      </c>
      <c r="G174" s="180">
        <v>67.36</v>
      </c>
      <c r="H174" s="181">
        <v>60</v>
      </c>
      <c r="I174" s="181">
        <v>85</v>
      </c>
      <c r="J174" s="181">
        <v>67.52</v>
      </c>
      <c r="K174" s="182">
        <v>67.13</v>
      </c>
      <c r="L174" s="183">
        <v>1607000</v>
      </c>
      <c r="M174" s="184">
        <v>3993000</v>
      </c>
      <c r="N174" s="184">
        <v>92</v>
      </c>
      <c r="O174" s="184">
        <v>23</v>
      </c>
      <c r="P174" s="181">
        <v>4.18</v>
      </c>
      <c r="Q174" s="184">
        <v>43402</v>
      </c>
      <c r="R174" s="184">
        <v>181500</v>
      </c>
      <c r="S174" s="184">
        <v>166991</v>
      </c>
      <c r="T174" s="184">
        <v>123615</v>
      </c>
      <c r="U174" s="184">
        <v>155149</v>
      </c>
      <c r="V174" s="182">
        <v>2.48</v>
      </c>
      <c r="W174" s="183">
        <v>22</v>
      </c>
      <c r="X174" s="185">
        <v>13</v>
      </c>
      <c r="Y174" s="183">
        <v>108247520</v>
      </c>
      <c r="Z174" s="179" t="s">
        <v>272</v>
      </c>
      <c r="AA174" s="186" t="s">
        <v>200</v>
      </c>
      <c r="AB174" s="177" t="s">
        <v>200</v>
      </c>
      <c r="AC174" s="177" t="s">
        <v>200</v>
      </c>
      <c r="AD174" s="177" t="s">
        <v>200</v>
      </c>
      <c r="AE174" s="177" t="s">
        <v>200</v>
      </c>
      <c r="AF174" s="184">
        <v>108247520</v>
      </c>
      <c r="AG174" s="177" t="s">
        <v>200</v>
      </c>
      <c r="AH174" s="177" t="s">
        <v>200</v>
      </c>
      <c r="AI174" s="177" t="s">
        <v>200</v>
      </c>
      <c r="AJ174" s="177" t="s">
        <v>200</v>
      </c>
      <c r="AK174" s="177" t="s">
        <v>200</v>
      </c>
      <c r="AL174" s="177" t="s">
        <v>200</v>
      </c>
      <c r="AM174" s="177" t="s">
        <v>200</v>
      </c>
      <c r="AN174" s="177" t="s">
        <v>200</v>
      </c>
      <c r="AO174" s="177" t="s">
        <v>200</v>
      </c>
      <c r="AP174" s="177" t="s">
        <v>200</v>
      </c>
      <c r="AQ174" s="177" t="s">
        <v>200</v>
      </c>
      <c r="AR174" s="177" t="s">
        <v>200</v>
      </c>
      <c r="AS174" s="177" t="s">
        <v>200</v>
      </c>
      <c r="AT174" s="177" t="s">
        <v>200</v>
      </c>
      <c r="AU174" s="177" t="s">
        <v>200</v>
      </c>
      <c r="AV174" s="177" t="s">
        <v>200</v>
      </c>
      <c r="AW174" s="177" t="s">
        <v>200</v>
      </c>
      <c r="AX174" s="177" t="s">
        <v>200</v>
      </c>
      <c r="AY174" s="177" t="s">
        <v>200</v>
      </c>
      <c r="AZ174" s="177" t="s">
        <v>200</v>
      </c>
      <c r="BA174" s="177" t="s">
        <v>200</v>
      </c>
      <c r="BB174" s="177" t="s">
        <v>200</v>
      </c>
      <c r="BC174" s="177" t="s">
        <v>200</v>
      </c>
      <c r="BD174" s="177" t="s">
        <v>200</v>
      </c>
      <c r="BE174" s="177" t="s">
        <v>200</v>
      </c>
      <c r="BF174" s="177" t="s">
        <v>200</v>
      </c>
      <c r="BG174" s="177" t="s">
        <v>200</v>
      </c>
      <c r="BH174" s="177" t="s">
        <v>200</v>
      </c>
      <c r="BI174" s="177" t="s">
        <v>200</v>
      </c>
      <c r="BJ174" s="187" t="s">
        <v>200</v>
      </c>
    </row>
    <row r="175" spans="2:62" x14ac:dyDescent="0.2">
      <c r="B175" s="175">
        <v>45743</v>
      </c>
      <c r="C175" s="176">
        <v>45743.458670972221</v>
      </c>
      <c r="D175" s="177" t="s">
        <v>267</v>
      </c>
      <c r="E175" s="178" t="s">
        <v>268</v>
      </c>
      <c r="F175" s="179" t="s">
        <v>269</v>
      </c>
      <c r="G175" s="180">
        <v>68.41</v>
      </c>
      <c r="H175" s="181">
        <v>67.08</v>
      </c>
      <c r="I175" s="181">
        <v>75</v>
      </c>
      <c r="J175" s="181">
        <v>68.599999999999994</v>
      </c>
      <c r="K175" s="182">
        <v>68.290000000000006</v>
      </c>
      <c r="L175" s="183">
        <v>3245500</v>
      </c>
      <c r="M175" s="184">
        <v>4996000</v>
      </c>
      <c r="N175" s="184">
        <v>96</v>
      </c>
      <c r="O175" s="184">
        <v>37</v>
      </c>
      <c r="P175" s="181">
        <v>4</v>
      </c>
      <c r="Q175" s="184">
        <v>52042</v>
      </c>
      <c r="R175" s="184">
        <v>208167</v>
      </c>
      <c r="S175" s="184">
        <v>305088</v>
      </c>
      <c r="T175" s="184">
        <v>154548</v>
      </c>
      <c r="U175" s="184">
        <v>270218</v>
      </c>
      <c r="V175" s="182">
        <v>1.54</v>
      </c>
      <c r="W175" s="183">
        <v>24</v>
      </c>
      <c r="X175" s="185">
        <v>21</v>
      </c>
      <c r="Y175" s="183">
        <v>222024655</v>
      </c>
      <c r="Z175" s="179" t="s">
        <v>270</v>
      </c>
      <c r="AA175" s="183">
        <v>1983890</v>
      </c>
      <c r="AB175" s="184">
        <v>3420500</v>
      </c>
      <c r="AC175" s="184">
        <v>5438595</v>
      </c>
      <c r="AD175" s="184">
        <v>718305</v>
      </c>
      <c r="AE175" s="184">
        <v>3694140</v>
      </c>
      <c r="AF175" s="177" t="s">
        <v>200</v>
      </c>
      <c r="AG175" s="184">
        <v>1915480</v>
      </c>
      <c r="AH175" s="184">
        <v>1676045</v>
      </c>
      <c r="AI175" s="184">
        <v>7456690</v>
      </c>
      <c r="AJ175" s="184">
        <v>16999885</v>
      </c>
      <c r="AK175" s="184">
        <v>2667990</v>
      </c>
      <c r="AL175" s="184">
        <v>10090475</v>
      </c>
      <c r="AM175" s="184">
        <v>752510</v>
      </c>
      <c r="AN175" s="184">
        <v>2873220</v>
      </c>
      <c r="AO175" s="184">
        <v>820920</v>
      </c>
      <c r="AP175" s="184">
        <v>17068295</v>
      </c>
      <c r="AQ175" s="184">
        <v>34205</v>
      </c>
      <c r="AR175" s="184">
        <v>16999885</v>
      </c>
      <c r="AS175" s="184">
        <v>25038060</v>
      </c>
      <c r="AT175" s="184">
        <v>0</v>
      </c>
      <c r="AU175" s="184">
        <v>547280</v>
      </c>
      <c r="AV175" s="184">
        <v>0</v>
      </c>
      <c r="AW175" s="184">
        <v>410460</v>
      </c>
      <c r="AX175" s="184">
        <v>42551020</v>
      </c>
      <c r="AY175" s="184">
        <v>342050</v>
      </c>
      <c r="AZ175" s="184">
        <v>16692040</v>
      </c>
      <c r="BA175" s="184">
        <v>6020080</v>
      </c>
      <c r="BB175" s="184">
        <v>1299790</v>
      </c>
      <c r="BC175" s="177" t="s">
        <v>200</v>
      </c>
      <c r="BD175" s="184">
        <v>3557320</v>
      </c>
      <c r="BE175" s="184">
        <v>3044245</v>
      </c>
      <c r="BF175" s="184">
        <v>1197175</v>
      </c>
      <c r="BG175" s="184">
        <v>24080320</v>
      </c>
      <c r="BH175" s="184">
        <v>855125</v>
      </c>
      <c r="BI175" s="184">
        <v>1778660</v>
      </c>
      <c r="BJ175" s="187" t="s">
        <v>200</v>
      </c>
    </row>
    <row r="176" spans="2:62" x14ac:dyDescent="0.2">
      <c r="B176" s="175">
        <v>45741</v>
      </c>
      <c r="C176" s="176">
        <v>45741.458722129631</v>
      </c>
      <c r="D176" s="177" t="s">
        <v>267</v>
      </c>
      <c r="E176" s="178" t="s">
        <v>268</v>
      </c>
      <c r="F176" s="179" t="s">
        <v>269</v>
      </c>
      <c r="G176" s="180">
        <v>69.61</v>
      </c>
      <c r="H176" s="181">
        <v>67.040000000000006</v>
      </c>
      <c r="I176" s="181">
        <v>120</v>
      </c>
      <c r="J176" s="181">
        <v>70.14</v>
      </c>
      <c r="K176" s="182">
        <v>69.489999999999995</v>
      </c>
      <c r="L176" s="183">
        <v>3245500</v>
      </c>
      <c r="M176" s="184">
        <v>4853500</v>
      </c>
      <c r="N176" s="184">
        <v>93</v>
      </c>
      <c r="O176" s="184">
        <v>34</v>
      </c>
      <c r="P176" s="181">
        <v>4.04</v>
      </c>
      <c r="Q176" s="184">
        <v>52188</v>
      </c>
      <c r="R176" s="184">
        <v>211022</v>
      </c>
      <c r="S176" s="184">
        <v>234433</v>
      </c>
      <c r="T176" s="184">
        <v>170816</v>
      </c>
      <c r="U176" s="184">
        <v>224930</v>
      </c>
      <c r="V176" s="182">
        <v>1.5</v>
      </c>
      <c r="W176" s="183">
        <v>23</v>
      </c>
      <c r="X176" s="185">
        <v>19</v>
      </c>
      <c r="Y176" s="183">
        <v>225919255</v>
      </c>
      <c r="Z176" s="179" t="s">
        <v>270</v>
      </c>
      <c r="AA176" s="183">
        <v>2018690</v>
      </c>
      <c r="AB176" s="184">
        <v>3480500</v>
      </c>
      <c r="AC176" s="184">
        <v>5533995</v>
      </c>
      <c r="AD176" s="184">
        <v>730905</v>
      </c>
      <c r="AE176" s="184">
        <v>3758940</v>
      </c>
      <c r="AF176" s="177" t="s">
        <v>200</v>
      </c>
      <c r="AG176" s="184">
        <v>1949080</v>
      </c>
      <c r="AH176" s="184">
        <v>1705445</v>
      </c>
      <c r="AI176" s="184">
        <v>7587490</v>
      </c>
      <c r="AJ176" s="184">
        <v>17298085</v>
      </c>
      <c r="AK176" s="184">
        <v>2714790</v>
      </c>
      <c r="AL176" s="184">
        <v>10267475</v>
      </c>
      <c r="AM176" s="184">
        <v>765710</v>
      </c>
      <c r="AN176" s="184">
        <v>2923620</v>
      </c>
      <c r="AO176" s="184">
        <v>835320</v>
      </c>
      <c r="AP176" s="184">
        <v>17367695</v>
      </c>
      <c r="AQ176" s="184">
        <v>34805</v>
      </c>
      <c r="AR176" s="184">
        <v>17298085</v>
      </c>
      <c r="AS176" s="184">
        <v>25477260</v>
      </c>
      <c r="AT176" s="184">
        <v>0</v>
      </c>
      <c r="AU176" s="184">
        <v>556880</v>
      </c>
      <c r="AV176" s="184">
        <v>0</v>
      </c>
      <c r="AW176" s="184">
        <v>417660</v>
      </c>
      <c r="AX176" s="184">
        <v>43297420</v>
      </c>
      <c r="AY176" s="184">
        <v>348050</v>
      </c>
      <c r="AZ176" s="184">
        <v>16984840</v>
      </c>
      <c r="BA176" s="184">
        <v>6125680</v>
      </c>
      <c r="BB176" s="184">
        <v>1322590</v>
      </c>
      <c r="BC176" s="177" t="s">
        <v>200</v>
      </c>
      <c r="BD176" s="184">
        <v>3619720</v>
      </c>
      <c r="BE176" s="184">
        <v>3097645</v>
      </c>
      <c r="BF176" s="184">
        <v>1218175</v>
      </c>
      <c r="BG176" s="184">
        <v>24502720</v>
      </c>
      <c r="BH176" s="184">
        <v>870125</v>
      </c>
      <c r="BI176" s="184">
        <v>1809860</v>
      </c>
      <c r="BJ176" s="187" t="s">
        <v>200</v>
      </c>
    </row>
    <row r="177" spans="2:62" x14ac:dyDescent="0.2">
      <c r="B177" s="175">
        <v>45740</v>
      </c>
      <c r="C177" s="176">
        <v>45740.458583078704</v>
      </c>
      <c r="D177" s="177" t="s">
        <v>267</v>
      </c>
      <c r="E177" s="178" t="s">
        <v>268</v>
      </c>
      <c r="F177" s="179" t="s">
        <v>269</v>
      </c>
      <c r="G177" s="180">
        <v>69.849999999999994</v>
      </c>
      <c r="H177" s="181">
        <v>67.55</v>
      </c>
      <c r="I177" s="181">
        <v>120</v>
      </c>
      <c r="J177" s="181">
        <v>70.260000000000005</v>
      </c>
      <c r="K177" s="182">
        <v>69.53</v>
      </c>
      <c r="L177" s="183">
        <v>3245500</v>
      </c>
      <c r="M177" s="184">
        <v>5332500</v>
      </c>
      <c r="N177" s="184">
        <v>109</v>
      </c>
      <c r="O177" s="184">
        <v>32</v>
      </c>
      <c r="P177" s="181">
        <v>4.3600000000000003</v>
      </c>
      <c r="Q177" s="184">
        <v>48922</v>
      </c>
      <c r="R177" s="184">
        <v>213300</v>
      </c>
      <c r="S177" s="184">
        <v>246124</v>
      </c>
      <c r="T177" s="184">
        <v>190912</v>
      </c>
      <c r="U177" s="184">
        <v>246290</v>
      </c>
      <c r="V177" s="182">
        <v>1.64</v>
      </c>
      <c r="W177" s="183">
        <v>25</v>
      </c>
      <c r="X177" s="185">
        <v>17</v>
      </c>
      <c r="Y177" s="183">
        <v>226698175</v>
      </c>
      <c r="Z177" s="179" t="s">
        <v>270</v>
      </c>
      <c r="AA177" s="183">
        <v>2025650</v>
      </c>
      <c r="AB177" s="184">
        <v>3492500</v>
      </c>
      <c r="AC177" s="184">
        <v>5553075</v>
      </c>
      <c r="AD177" s="184">
        <v>733425</v>
      </c>
      <c r="AE177" s="184">
        <v>3771900</v>
      </c>
      <c r="AF177" s="177" t="s">
        <v>200</v>
      </c>
      <c r="AG177" s="184">
        <v>1955800</v>
      </c>
      <c r="AH177" s="184">
        <v>1711325</v>
      </c>
      <c r="AI177" s="184">
        <v>7613650</v>
      </c>
      <c r="AJ177" s="184">
        <v>17357725</v>
      </c>
      <c r="AK177" s="184">
        <v>2724150</v>
      </c>
      <c r="AL177" s="184">
        <v>10302875</v>
      </c>
      <c r="AM177" s="184">
        <v>768350</v>
      </c>
      <c r="AN177" s="184">
        <v>2933700</v>
      </c>
      <c r="AO177" s="184">
        <v>838200</v>
      </c>
      <c r="AP177" s="184">
        <v>17427575</v>
      </c>
      <c r="AQ177" s="184">
        <v>34925</v>
      </c>
      <c r="AR177" s="184">
        <v>17357725</v>
      </c>
      <c r="AS177" s="184">
        <v>25565100</v>
      </c>
      <c r="AT177" s="184">
        <v>0</v>
      </c>
      <c r="AU177" s="184">
        <v>558800</v>
      </c>
      <c r="AV177" s="184">
        <v>0</v>
      </c>
      <c r="AW177" s="184">
        <v>419100</v>
      </c>
      <c r="AX177" s="184">
        <v>43446700</v>
      </c>
      <c r="AY177" s="184">
        <v>349250</v>
      </c>
      <c r="AZ177" s="184">
        <v>17043400</v>
      </c>
      <c r="BA177" s="184">
        <v>6146800</v>
      </c>
      <c r="BB177" s="184">
        <v>1327150</v>
      </c>
      <c r="BC177" s="177" t="s">
        <v>200</v>
      </c>
      <c r="BD177" s="184">
        <v>3632200</v>
      </c>
      <c r="BE177" s="184">
        <v>3108325</v>
      </c>
      <c r="BF177" s="184">
        <v>1222375</v>
      </c>
      <c r="BG177" s="184">
        <v>24587200</v>
      </c>
      <c r="BH177" s="184">
        <v>873125</v>
      </c>
      <c r="BI177" s="184">
        <v>1816100</v>
      </c>
      <c r="BJ177" s="187" t="s">
        <v>200</v>
      </c>
    </row>
    <row r="178" spans="2:62" x14ac:dyDescent="0.2">
      <c r="B178" s="175">
        <v>45737</v>
      </c>
      <c r="C178" s="176">
        <v>45737.458578136575</v>
      </c>
      <c r="D178" s="177" t="s">
        <v>271</v>
      </c>
      <c r="E178" s="178" t="s">
        <v>268</v>
      </c>
      <c r="F178" s="179" t="s">
        <v>269</v>
      </c>
      <c r="G178" s="180">
        <v>71.56</v>
      </c>
      <c r="H178" s="181">
        <v>69.5</v>
      </c>
      <c r="I178" s="181">
        <v>120</v>
      </c>
      <c r="J178" s="181">
        <v>71.95</v>
      </c>
      <c r="K178" s="182">
        <v>71.319999999999993</v>
      </c>
      <c r="L178" s="183">
        <v>1607000</v>
      </c>
      <c r="M178" s="184">
        <v>3446000</v>
      </c>
      <c r="N178" s="184">
        <v>101</v>
      </c>
      <c r="O178" s="184">
        <v>26</v>
      </c>
      <c r="P178" s="181">
        <v>3.88</v>
      </c>
      <c r="Q178" s="184">
        <v>34119</v>
      </c>
      <c r="R178" s="184">
        <v>132538</v>
      </c>
      <c r="S178" s="184">
        <v>164209</v>
      </c>
      <c r="T178" s="184">
        <v>100438</v>
      </c>
      <c r="U178" s="184">
        <v>173111</v>
      </c>
      <c r="V178" s="182">
        <v>2.14</v>
      </c>
      <c r="W178" s="183">
        <v>26</v>
      </c>
      <c r="X178" s="185">
        <v>16</v>
      </c>
      <c r="Y178" s="183">
        <v>114996920</v>
      </c>
      <c r="Z178" s="179" t="s">
        <v>272</v>
      </c>
      <c r="AA178" s="186" t="s">
        <v>200</v>
      </c>
      <c r="AB178" s="177" t="s">
        <v>200</v>
      </c>
      <c r="AC178" s="177" t="s">
        <v>200</v>
      </c>
      <c r="AD178" s="177" t="s">
        <v>200</v>
      </c>
      <c r="AE178" s="177" t="s">
        <v>200</v>
      </c>
      <c r="AF178" s="184">
        <v>114996920</v>
      </c>
      <c r="AG178" s="177" t="s">
        <v>200</v>
      </c>
      <c r="AH178" s="177" t="s">
        <v>200</v>
      </c>
      <c r="AI178" s="177" t="s">
        <v>200</v>
      </c>
      <c r="AJ178" s="177" t="s">
        <v>200</v>
      </c>
      <c r="AK178" s="177" t="s">
        <v>200</v>
      </c>
      <c r="AL178" s="177" t="s">
        <v>200</v>
      </c>
      <c r="AM178" s="177" t="s">
        <v>200</v>
      </c>
      <c r="AN178" s="177" t="s">
        <v>200</v>
      </c>
      <c r="AO178" s="177" t="s">
        <v>200</v>
      </c>
      <c r="AP178" s="177" t="s">
        <v>200</v>
      </c>
      <c r="AQ178" s="177" t="s">
        <v>200</v>
      </c>
      <c r="AR178" s="177" t="s">
        <v>200</v>
      </c>
      <c r="AS178" s="177" t="s">
        <v>200</v>
      </c>
      <c r="AT178" s="177" t="s">
        <v>200</v>
      </c>
      <c r="AU178" s="177" t="s">
        <v>200</v>
      </c>
      <c r="AV178" s="177" t="s">
        <v>200</v>
      </c>
      <c r="AW178" s="177" t="s">
        <v>200</v>
      </c>
      <c r="AX178" s="177" t="s">
        <v>200</v>
      </c>
      <c r="AY178" s="177" t="s">
        <v>200</v>
      </c>
      <c r="AZ178" s="177" t="s">
        <v>200</v>
      </c>
      <c r="BA178" s="177" t="s">
        <v>200</v>
      </c>
      <c r="BB178" s="177" t="s">
        <v>200</v>
      </c>
      <c r="BC178" s="177" t="s">
        <v>200</v>
      </c>
      <c r="BD178" s="177" t="s">
        <v>200</v>
      </c>
      <c r="BE178" s="177" t="s">
        <v>200</v>
      </c>
      <c r="BF178" s="177" t="s">
        <v>200</v>
      </c>
      <c r="BG178" s="177" t="s">
        <v>200</v>
      </c>
      <c r="BH178" s="177" t="s">
        <v>200</v>
      </c>
      <c r="BI178" s="177" t="s">
        <v>200</v>
      </c>
      <c r="BJ178" s="187" t="s">
        <v>200</v>
      </c>
    </row>
    <row r="179" spans="2:62" x14ac:dyDescent="0.2">
      <c r="B179" s="175">
        <v>45736</v>
      </c>
      <c r="C179" s="176">
        <v>45736.458608912035</v>
      </c>
      <c r="D179" s="177" t="s">
        <v>267</v>
      </c>
      <c r="E179" s="178" t="s">
        <v>268</v>
      </c>
      <c r="F179" s="179" t="s">
        <v>269</v>
      </c>
      <c r="G179" s="180">
        <v>71.540000000000006</v>
      </c>
      <c r="H179" s="181">
        <v>66.900000000000006</v>
      </c>
      <c r="I179" s="181">
        <v>120</v>
      </c>
      <c r="J179" s="181">
        <v>72.3</v>
      </c>
      <c r="K179" s="182">
        <v>71.709999999999994</v>
      </c>
      <c r="L179" s="183">
        <v>3245500</v>
      </c>
      <c r="M179" s="184">
        <v>4369000</v>
      </c>
      <c r="N179" s="184">
        <v>97</v>
      </c>
      <c r="O179" s="184">
        <v>61</v>
      </c>
      <c r="P179" s="181">
        <v>3.88</v>
      </c>
      <c r="Q179" s="184">
        <v>45041</v>
      </c>
      <c r="R179" s="184">
        <v>174760</v>
      </c>
      <c r="S179" s="184">
        <v>206435</v>
      </c>
      <c r="T179" s="184">
        <v>141109</v>
      </c>
      <c r="U179" s="184">
        <v>187199</v>
      </c>
      <c r="V179" s="182">
        <v>1.35</v>
      </c>
      <c r="W179" s="183">
        <v>25</v>
      </c>
      <c r="X179" s="185">
        <v>23</v>
      </c>
      <c r="Y179" s="183">
        <v>232183070</v>
      </c>
      <c r="Z179" s="179" t="s">
        <v>270</v>
      </c>
      <c r="AA179" s="183">
        <v>2074660</v>
      </c>
      <c r="AB179" s="184">
        <v>3577000</v>
      </c>
      <c r="AC179" s="184">
        <v>5687430</v>
      </c>
      <c r="AD179" s="184">
        <v>751170</v>
      </c>
      <c r="AE179" s="184">
        <v>3863160</v>
      </c>
      <c r="AF179" s="177" t="s">
        <v>200</v>
      </c>
      <c r="AG179" s="184">
        <v>2003120</v>
      </c>
      <c r="AH179" s="184">
        <v>1752730</v>
      </c>
      <c r="AI179" s="184">
        <v>7797860</v>
      </c>
      <c r="AJ179" s="184">
        <v>17777690</v>
      </c>
      <c r="AK179" s="184">
        <v>2790060</v>
      </c>
      <c r="AL179" s="184">
        <v>10552150</v>
      </c>
      <c r="AM179" s="184">
        <v>786940</v>
      </c>
      <c r="AN179" s="184">
        <v>3004680</v>
      </c>
      <c r="AO179" s="184">
        <v>858480</v>
      </c>
      <c r="AP179" s="184">
        <v>17849230</v>
      </c>
      <c r="AQ179" s="184">
        <v>35770</v>
      </c>
      <c r="AR179" s="184">
        <v>17777690</v>
      </c>
      <c r="AS179" s="184">
        <v>26183640</v>
      </c>
      <c r="AT179" s="184">
        <v>0</v>
      </c>
      <c r="AU179" s="184">
        <v>572320</v>
      </c>
      <c r="AV179" s="184">
        <v>0</v>
      </c>
      <c r="AW179" s="184">
        <v>429240</v>
      </c>
      <c r="AX179" s="184">
        <v>44497880</v>
      </c>
      <c r="AY179" s="184">
        <v>357700</v>
      </c>
      <c r="AZ179" s="184">
        <v>17455760</v>
      </c>
      <c r="BA179" s="184">
        <v>6295520</v>
      </c>
      <c r="BB179" s="184">
        <v>1359260</v>
      </c>
      <c r="BC179" s="177" t="s">
        <v>200</v>
      </c>
      <c r="BD179" s="184">
        <v>3720080</v>
      </c>
      <c r="BE179" s="184">
        <v>3183530</v>
      </c>
      <c r="BF179" s="184">
        <v>1251950</v>
      </c>
      <c r="BG179" s="184">
        <v>25182080</v>
      </c>
      <c r="BH179" s="184">
        <v>894250</v>
      </c>
      <c r="BI179" s="184">
        <v>1860040</v>
      </c>
      <c r="BJ179" s="187" t="s">
        <v>200</v>
      </c>
    </row>
    <row r="180" spans="2:62" x14ac:dyDescent="0.2">
      <c r="B180" s="175">
        <v>45735</v>
      </c>
      <c r="C180" s="176">
        <v>45735.458747604163</v>
      </c>
      <c r="D180" s="177" t="s">
        <v>273</v>
      </c>
      <c r="E180" s="178" t="s">
        <v>268</v>
      </c>
      <c r="F180" s="179" t="s">
        <v>269</v>
      </c>
      <c r="G180" s="180">
        <v>71.349999999999994</v>
      </c>
      <c r="H180" s="181">
        <v>67</v>
      </c>
      <c r="I180" s="181">
        <v>120</v>
      </c>
      <c r="J180" s="181">
        <v>71.540000000000006</v>
      </c>
      <c r="K180" s="182">
        <v>71.06</v>
      </c>
      <c r="L180" s="183">
        <v>2072500</v>
      </c>
      <c r="M180" s="184">
        <v>4095000</v>
      </c>
      <c r="N180" s="184">
        <v>89</v>
      </c>
      <c r="O180" s="184">
        <v>23</v>
      </c>
      <c r="P180" s="181">
        <v>3.87</v>
      </c>
      <c r="Q180" s="184">
        <v>46011</v>
      </c>
      <c r="R180" s="184">
        <v>178043</v>
      </c>
      <c r="S180" s="184">
        <v>220864</v>
      </c>
      <c r="T180" s="184">
        <v>129531</v>
      </c>
      <c r="U180" s="184">
        <v>232606</v>
      </c>
      <c r="V180" s="182">
        <v>1.98</v>
      </c>
      <c r="W180" s="183">
        <v>23</v>
      </c>
      <c r="X180" s="185">
        <v>16</v>
      </c>
      <c r="Y180" s="183">
        <v>147872875</v>
      </c>
      <c r="Z180" s="179" t="s">
        <v>274</v>
      </c>
      <c r="AA180" s="186" t="s">
        <v>200</v>
      </c>
      <c r="AB180" s="177" t="s">
        <v>200</v>
      </c>
      <c r="AC180" s="177" t="s">
        <v>200</v>
      </c>
      <c r="AD180" s="177" t="s">
        <v>200</v>
      </c>
      <c r="AE180" s="177" t="s">
        <v>200</v>
      </c>
      <c r="AF180" s="177" t="s">
        <v>200</v>
      </c>
      <c r="AG180" s="177" t="s">
        <v>200</v>
      </c>
      <c r="AH180" s="177" t="s">
        <v>200</v>
      </c>
      <c r="AI180" s="177" t="s">
        <v>200</v>
      </c>
      <c r="AJ180" s="177" t="s">
        <v>200</v>
      </c>
      <c r="AK180" s="177" t="s">
        <v>200</v>
      </c>
      <c r="AL180" s="177" t="s">
        <v>200</v>
      </c>
      <c r="AM180" s="177" t="s">
        <v>200</v>
      </c>
      <c r="AN180" s="177" t="s">
        <v>200</v>
      </c>
      <c r="AO180" s="177" t="s">
        <v>200</v>
      </c>
      <c r="AP180" s="177" t="s">
        <v>200</v>
      </c>
      <c r="AQ180" s="177" t="s">
        <v>200</v>
      </c>
      <c r="AR180" s="177" t="s">
        <v>200</v>
      </c>
      <c r="AS180" s="177" t="s">
        <v>200</v>
      </c>
      <c r="AT180" s="177" t="s">
        <v>200</v>
      </c>
      <c r="AU180" s="177" t="s">
        <v>200</v>
      </c>
      <c r="AV180" s="177" t="s">
        <v>200</v>
      </c>
      <c r="AW180" s="177" t="s">
        <v>200</v>
      </c>
      <c r="AX180" s="177" t="s">
        <v>200</v>
      </c>
      <c r="AY180" s="177" t="s">
        <v>200</v>
      </c>
      <c r="AZ180" s="177" t="s">
        <v>200</v>
      </c>
      <c r="BA180" s="177" t="s">
        <v>200</v>
      </c>
      <c r="BB180" s="177" t="s">
        <v>200</v>
      </c>
      <c r="BC180" s="184">
        <v>147872875</v>
      </c>
      <c r="BD180" s="177" t="s">
        <v>200</v>
      </c>
      <c r="BE180" s="177" t="s">
        <v>200</v>
      </c>
      <c r="BF180" s="177" t="s">
        <v>200</v>
      </c>
      <c r="BG180" s="177" t="s">
        <v>200</v>
      </c>
      <c r="BH180" s="177" t="s">
        <v>200</v>
      </c>
      <c r="BI180" s="177" t="s">
        <v>200</v>
      </c>
      <c r="BJ180" s="187" t="s">
        <v>200</v>
      </c>
    </row>
    <row r="181" spans="2:62" x14ac:dyDescent="0.2">
      <c r="B181" s="175">
        <v>45734</v>
      </c>
      <c r="C181" s="176">
        <v>45734.458763125003</v>
      </c>
      <c r="D181" s="177" t="s">
        <v>267</v>
      </c>
      <c r="E181" s="178" t="s">
        <v>268</v>
      </c>
      <c r="F181" s="179" t="s">
        <v>269</v>
      </c>
      <c r="G181" s="180">
        <v>68.66</v>
      </c>
      <c r="H181" s="181">
        <v>66.319999999999993</v>
      </c>
      <c r="I181" s="181">
        <v>120</v>
      </c>
      <c r="J181" s="181">
        <v>68.900000000000006</v>
      </c>
      <c r="K181" s="182">
        <v>68.33</v>
      </c>
      <c r="L181" s="183">
        <v>3245500</v>
      </c>
      <c r="M181" s="184">
        <v>5321500</v>
      </c>
      <c r="N181" s="184">
        <v>111</v>
      </c>
      <c r="O181" s="184">
        <v>33</v>
      </c>
      <c r="P181" s="181">
        <v>3.83</v>
      </c>
      <c r="Q181" s="184">
        <v>47941</v>
      </c>
      <c r="R181" s="184">
        <v>183500</v>
      </c>
      <c r="S181" s="184">
        <v>200885</v>
      </c>
      <c r="T181" s="184">
        <v>170816</v>
      </c>
      <c r="U181" s="184">
        <v>179241</v>
      </c>
      <c r="V181" s="182">
        <v>1.64</v>
      </c>
      <c r="W181" s="183">
        <v>29</v>
      </c>
      <c r="X181" s="185">
        <v>19</v>
      </c>
      <c r="Y181" s="183">
        <v>222836030</v>
      </c>
      <c r="Z181" s="179" t="s">
        <v>270</v>
      </c>
      <c r="AA181" s="183">
        <v>1991140</v>
      </c>
      <c r="AB181" s="184">
        <v>3433000</v>
      </c>
      <c r="AC181" s="184">
        <v>5458470</v>
      </c>
      <c r="AD181" s="184">
        <v>720930</v>
      </c>
      <c r="AE181" s="184">
        <v>3707640</v>
      </c>
      <c r="AF181" s="177" t="s">
        <v>200</v>
      </c>
      <c r="AG181" s="184">
        <v>1922480</v>
      </c>
      <c r="AH181" s="184">
        <v>1682170</v>
      </c>
      <c r="AI181" s="184">
        <v>7483940</v>
      </c>
      <c r="AJ181" s="184">
        <v>17062010</v>
      </c>
      <c r="AK181" s="184">
        <v>2677740</v>
      </c>
      <c r="AL181" s="184">
        <v>10127350</v>
      </c>
      <c r="AM181" s="184">
        <v>755260</v>
      </c>
      <c r="AN181" s="184">
        <v>2883720</v>
      </c>
      <c r="AO181" s="184">
        <v>823920</v>
      </c>
      <c r="AP181" s="184">
        <v>17130670</v>
      </c>
      <c r="AQ181" s="184">
        <v>34330</v>
      </c>
      <c r="AR181" s="184">
        <v>17062010</v>
      </c>
      <c r="AS181" s="184">
        <v>25129560</v>
      </c>
      <c r="AT181" s="184">
        <v>0</v>
      </c>
      <c r="AU181" s="184">
        <v>549280</v>
      </c>
      <c r="AV181" s="184">
        <v>0</v>
      </c>
      <c r="AW181" s="184">
        <v>411960</v>
      </c>
      <c r="AX181" s="184">
        <v>42706520</v>
      </c>
      <c r="AY181" s="184">
        <v>343300</v>
      </c>
      <c r="AZ181" s="184">
        <v>16753040</v>
      </c>
      <c r="BA181" s="184">
        <v>6042080</v>
      </c>
      <c r="BB181" s="184">
        <v>1304540</v>
      </c>
      <c r="BC181" s="177" t="s">
        <v>200</v>
      </c>
      <c r="BD181" s="184">
        <v>3570320</v>
      </c>
      <c r="BE181" s="184">
        <v>3055370</v>
      </c>
      <c r="BF181" s="184">
        <v>1201550</v>
      </c>
      <c r="BG181" s="184">
        <v>24168320</v>
      </c>
      <c r="BH181" s="184">
        <v>858250</v>
      </c>
      <c r="BI181" s="184">
        <v>1785160</v>
      </c>
      <c r="BJ181" s="187" t="s">
        <v>200</v>
      </c>
    </row>
    <row r="182" spans="2:62" x14ac:dyDescent="0.2">
      <c r="B182" s="175">
        <v>45733</v>
      </c>
      <c r="C182" s="176">
        <v>45733.458670555556</v>
      </c>
      <c r="D182" s="177" t="s">
        <v>267</v>
      </c>
      <c r="E182" s="178" t="s">
        <v>268</v>
      </c>
      <c r="F182" s="179" t="s">
        <v>269</v>
      </c>
      <c r="G182" s="180">
        <v>68.53</v>
      </c>
      <c r="H182" s="181">
        <v>65.989999999999995</v>
      </c>
      <c r="I182" s="181">
        <v>120</v>
      </c>
      <c r="J182" s="181">
        <v>69</v>
      </c>
      <c r="K182" s="182">
        <v>68.42</v>
      </c>
      <c r="L182" s="183">
        <v>3245500</v>
      </c>
      <c r="M182" s="184">
        <v>5154000</v>
      </c>
      <c r="N182" s="184">
        <v>113</v>
      </c>
      <c r="O182" s="184">
        <v>44</v>
      </c>
      <c r="P182" s="181">
        <v>4.3499999999999996</v>
      </c>
      <c r="Q182" s="184">
        <v>45611</v>
      </c>
      <c r="R182" s="184">
        <v>198231</v>
      </c>
      <c r="S182" s="184">
        <v>248449</v>
      </c>
      <c r="T182" s="184">
        <v>147523</v>
      </c>
      <c r="U182" s="184">
        <v>236706</v>
      </c>
      <c r="V182" s="182">
        <v>1.59</v>
      </c>
      <c r="W182" s="183">
        <v>26</v>
      </c>
      <c r="X182" s="185">
        <v>22</v>
      </c>
      <c r="Y182" s="183">
        <v>222414115</v>
      </c>
      <c r="Z182" s="179" t="s">
        <v>270</v>
      </c>
      <c r="AA182" s="183">
        <v>1987370</v>
      </c>
      <c r="AB182" s="184">
        <v>3426500</v>
      </c>
      <c r="AC182" s="184">
        <v>5448135</v>
      </c>
      <c r="AD182" s="184">
        <v>719565</v>
      </c>
      <c r="AE182" s="184">
        <v>3700620</v>
      </c>
      <c r="AF182" s="177" t="s">
        <v>200</v>
      </c>
      <c r="AG182" s="184">
        <v>1918840</v>
      </c>
      <c r="AH182" s="184">
        <v>1678985</v>
      </c>
      <c r="AI182" s="184">
        <v>7469770</v>
      </c>
      <c r="AJ182" s="184">
        <v>17029705</v>
      </c>
      <c r="AK182" s="184">
        <v>2672670</v>
      </c>
      <c r="AL182" s="184">
        <v>10108175</v>
      </c>
      <c r="AM182" s="184">
        <v>753830</v>
      </c>
      <c r="AN182" s="184">
        <v>2878260</v>
      </c>
      <c r="AO182" s="184">
        <v>822360</v>
      </c>
      <c r="AP182" s="184">
        <v>17098235</v>
      </c>
      <c r="AQ182" s="184">
        <v>34265</v>
      </c>
      <c r="AR182" s="184">
        <v>17029705</v>
      </c>
      <c r="AS182" s="184">
        <v>25081980</v>
      </c>
      <c r="AT182" s="184">
        <v>0</v>
      </c>
      <c r="AU182" s="184">
        <v>548240</v>
      </c>
      <c r="AV182" s="184">
        <v>0</v>
      </c>
      <c r="AW182" s="184">
        <v>411180</v>
      </c>
      <c r="AX182" s="184">
        <v>42625660</v>
      </c>
      <c r="AY182" s="184">
        <v>342650</v>
      </c>
      <c r="AZ182" s="184">
        <v>16721320</v>
      </c>
      <c r="BA182" s="184">
        <v>6030640</v>
      </c>
      <c r="BB182" s="184">
        <v>1302070</v>
      </c>
      <c r="BC182" s="177" t="s">
        <v>200</v>
      </c>
      <c r="BD182" s="184">
        <v>3563560</v>
      </c>
      <c r="BE182" s="184">
        <v>3049585</v>
      </c>
      <c r="BF182" s="184">
        <v>1199275</v>
      </c>
      <c r="BG182" s="184">
        <v>24122560</v>
      </c>
      <c r="BH182" s="184">
        <v>856625</v>
      </c>
      <c r="BI182" s="184">
        <v>1781780</v>
      </c>
      <c r="BJ182" s="187" t="s">
        <v>200</v>
      </c>
    </row>
    <row r="183" spans="2:62" x14ac:dyDescent="0.2">
      <c r="B183" s="175">
        <v>45730</v>
      </c>
      <c r="C183" s="176">
        <v>45730.459077777778</v>
      </c>
      <c r="D183" s="177" t="s">
        <v>271</v>
      </c>
      <c r="E183" s="178" t="s">
        <v>268</v>
      </c>
      <c r="F183" s="179" t="s">
        <v>269</v>
      </c>
      <c r="G183" s="180">
        <v>68.650000000000006</v>
      </c>
      <c r="H183" s="181">
        <v>65.989999999999995</v>
      </c>
      <c r="I183" s="181">
        <v>120</v>
      </c>
      <c r="J183" s="181">
        <v>69.2</v>
      </c>
      <c r="K183" s="182">
        <v>68.47</v>
      </c>
      <c r="L183" s="183">
        <v>1607000</v>
      </c>
      <c r="M183" s="184">
        <v>3523500</v>
      </c>
      <c r="N183" s="184">
        <v>101</v>
      </c>
      <c r="O183" s="184">
        <v>34</v>
      </c>
      <c r="P183" s="181">
        <v>4.3899999999999997</v>
      </c>
      <c r="Q183" s="184">
        <v>34886</v>
      </c>
      <c r="R183" s="184">
        <v>153196</v>
      </c>
      <c r="S183" s="184">
        <v>140057</v>
      </c>
      <c r="T183" s="184">
        <v>89278</v>
      </c>
      <c r="U183" s="184">
        <v>107229</v>
      </c>
      <c r="V183" s="182">
        <v>2.19</v>
      </c>
      <c r="W183" s="183">
        <v>23</v>
      </c>
      <c r="X183" s="185">
        <v>18</v>
      </c>
      <c r="Y183" s="183">
        <v>110320550</v>
      </c>
      <c r="Z183" s="179" t="s">
        <v>272</v>
      </c>
      <c r="AA183" s="186" t="s">
        <v>200</v>
      </c>
      <c r="AB183" s="177" t="s">
        <v>200</v>
      </c>
      <c r="AC183" s="177" t="s">
        <v>200</v>
      </c>
      <c r="AD183" s="177" t="s">
        <v>200</v>
      </c>
      <c r="AE183" s="177" t="s">
        <v>200</v>
      </c>
      <c r="AF183" s="184">
        <v>110320550</v>
      </c>
      <c r="AG183" s="177" t="s">
        <v>200</v>
      </c>
      <c r="AH183" s="177" t="s">
        <v>200</v>
      </c>
      <c r="AI183" s="177" t="s">
        <v>200</v>
      </c>
      <c r="AJ183" s="177" t="s">
        <v>200</v>
      </c>
      <c r="AK183" s="177" t="s">
        <v>200</v>
      </c>
      <c r="AL183" s="177" t="s">
        <v>200</v>
      </c>
      <c r="AM183" s="177" t="s">
        <v>200</v>
      </c>
      <c r="AN183" s="177" t="s">
        <v>200</v>
      </c>
      <c r="AO183" s="177" t="s">
        <v>200</v>
      </c>
      <c r="AP183" s="177" t="s">
        <v>200</v>
      </c>
      <c r="AQ183" s="177" t="s">
        <v>200</v>
      </c>
      <c r="AR183" s="177" t="s">
        <v>200</v>
      </c>
      <c r="AS183" s="177" t="s">
        <v>200</v>
      </c>
      <c r="AT183" s="177" t="s">
        <v>200</v>
      </c>
      <c r="AU183" s="177" t="s">
        <v>200</v>
      </c>
      <c r="AV183" s="177" t="s">
        <v>200</v>
      </c>
      <c r="AW183" s="177" t="s">
        <v>200</v>
      </c>
      <c r="AX183" s="177" t="s">
        <v>200</v>
      </c>
      <c r="AY183" s="177" t="s">
        <v>200</v>
      </c>
      <c r="AZ183" s="177" t="s">
        <v>200</v>
      </c>
      <c r="BA183" s="177" t="s">
        <v>200</v>
      </c>
      <c r="BB183" s="177" t="s">
        <v>200</v>
      </c>
      <c r="BC183" s="177" t="s">
        <v>200</v>
      </c>
      <c r="BD183" s="177" t="s">
        <v>200</v>
      </c>
      <c r="BE183" s="177" t="s">
        <v>200</v>
      </c>
      <c r="BF183" s="177" t="s">
        <v>200</v>
      </c>
      <c r="BG183" s="177" t="s">
        <v>200</v>
      </c>
      <c r="BH183" s="177" t="s">
        <v>200</v>
      </c>
      <c r="BI183" s="177" t="s">
        <v>200</v>
      </c>
      <c r="BJ183" s="187" t="s">
        <v>200</v>
      </c>
    </row>
    <row r="184" spans="2:62" x14ac:dyDescent="0.2">
      <c r="B184" s="175">
        <v>45729</v>
      </c>
      <c r="C184" s="176">
        <v>45729.458624965278</v>
      </c>
      <c r="D184" s="177" t="s">
        <v>267</v>
      </c>
      <c r="E184" s="178" t="s">
        <v>268</v>
      </c>
      <c r="F184" s="179" t="s">
        <v>269</v>
      </c>
      <c r="G184" s="180">
        <v>68.2</v>
      </c>
      <c r="H184" s="181">
        <v>65.08</v>
      </c>
      <c r="I184" s="181">
        <v>120</v>
      </c>
      <c r="J184" s="181">
        <v>68.59</v>
      </c>
      <c r="K184" s="182">
        <v>67.84</v>
      </c>
      <c r="L184" s="183">
        <v>3245500</v>
      </c>
      <c r="M184" s="184">
        <v>5881500</v>
      </c>
      <c r="N184" s="184">
        <v>104</v>
      </c>
      <c r="O184" s="184">
        <v>30</v>
      </c>
      <c r="P184" s="181">
        <v>3.71</v>
      </c>
      <c r="Q184" s="184">
        <v>56553</v>
      </c>
      <c r="R184" s="184">
        <v>210054</v>
      </c>
      <c r="S184" s="184">
        <v>320097</v>
      </c>
      <c r="T184" s="184">
        <v>154548</v>
      </c>
      <c r="U184" s="184">
        <v>291809</v>
      </c>
      <c r="V184" s="182">
        <v>1.81</v>
      </c>
      <c r="W184" s="183">
        <v>28</v>
      </c>
      <c r="X184" s="185">
        <v>21</v>
      </c>
      <c r="Y184" s="183">
        <v>221343100</v>
      </c>
      <c r="Z184" s="179" t="s">
        <v>270</v>
      </c>
      <c r="AA184" s="183">
        <v>1977800</v>
      </c>
      <c r="AB184" s="184">
        <v>3410000</v>
      </c>
      <c r="AC184" s="184">
        <v>5421900</v>
      </c>
      <c r="AD184" s="184">
        <v>716100</v>
      </c>
      <c r="AE184" s="184">
        <v>3682800</v>
      </c>
      <c r="AF184" s="177" t="s">
        <v>200</v>
      </c>
      <c r="AG184" s="184">
        <v>1909600</v>
      </c>
      <c r="AH184" s="184">
        <v>1670900</v>
      </c>
      <c r="AI184" s="184">
        <v>7433800</v>
      </c>
      <c r="AJ184" s="184">
        <v>16947700</v>
      </c>
      <c r="AK184" s="184">
        <v>2659800</v>
      </c>
      <c r="AL184" s="184">
        <v>10059500</v>
      </c>
      <c r="AM184" s="184">
        <v>750200</v>
      </c>
      <c r="AN184" s="184">
        <v>2864400</v>
      </c>
      <c r="AO184" s="184">
        <v>818400</v>
      </c>
      <c r="AP184" s="184">
        <v>17015900</v>
      </c>
      <c r="AQ184" s="184">
        <v>34100</v>
      </c>
      <c r="AR184" s="184">
        <v>16947700</v>
      </c>
      <c r="AS184" s="184">
        <v>24961200</v>
      </c>
      <c r="AT184" s="184">
        <v>0</v>
      </c>
      <c r="AU184" s="184">
        <v>545600</v>
      </c>
      <c r="AV184" s="184">
        <v>0</v>
      </c>
      <c r="AW184" s="184">
        <v>409200</v>
      </c>
      <c r="AX184" s="184">
        <v>42420400</v>
      </c>
      <c r="AY184" s="184">
        <v>341000</v>
      </c>
      <c r="AZ184" s="184">
        <v>16640800</v>
      </c>
      <c r="BA184" s="184">
        <v>6001600</v>
      </c>
      <c r="BB184" s="184">
        <v>1295800</v>
      </c>
      <c r="BC184" s="177" t="s">
        <v>200</v>
      </c>
      <c r="BD184" s="184">
        <v>3546400</v>
      </c>
      <c r="BE184" s="184">
        <v>3034900</v>
      </c>
      <c r="BF184" s="184">
        <v>1193500</v>
      </c>
      <c r="BG184" s="184">
        <v>24006400</v>
      </c>
      <c r="BH184" s="184">
        <v>852500</v>
      </c>
      <c r="BI184" s="184">
        <v>1773200</v>
      </c>
      <c r="BJ184" s="187" t="s">
        <v>200</v>
      </c>
    </row>
    <row r="185" spans="2:62" x14ac:dyDescent="0.2">
      <c r="B185" s="175">
        <v>45727</v>
      </c>
      <c r="C185" s="176">
        <v>45727.458553738426</v>
      </c>
      <c r="D185" s="177" t="s">
        <v>267</v>
      </c>
      <c r="E185" s="178" t="s">
        <v>268</v>
      </c>
      <c r="F185" s="179" t="s">
        <v>269</v>
      </c>
      <c r="G185" s="180">
        <v>67.02</v>
      </c>
      <c r="H185" s="181">
        <v>65.599999999999994</v>
      </c>
      <c r="I185" s="181">
        <v>120</v>
      </c>
      <c r="J185" s="181">
        <v>67.680000000000007</v>
      </c>
      <c r="K185" s="182">
        <v>66.97</v>
      </c>
      <c r="L185" s="183">
        <v>3245500</v>
      </c>
      <c r="M185" s="184">
        <v>4688000</v>
      </c>
      <c r="N185" s="184">
        <v>102</v>
      </c>
      <c r="O185" s="184">
        <v>46</v>
      </c>
      <c r="P185" s="181">
        <v>4.6399999999999997</v>
      </c>
      <c r="Q185" s="184">
        <v>45961</v>
      </c>
      <c r="R185" s="184">
        <v>213091</v>
      </c>
      <c r="S185" s="184">
        <v>287792</v>
      </c>
      <c r="T185" s="184">
        <v>154548</v>
      </c>
      <c r="U185" s="184">
        <v>271291</v>
      </c>
      <c r="V185" s="182">
        <v>1.44</v>
      </c>
      <c r="W185" s="183">
        <v>22</v>
      </c>
      <c r="X185" s="185">
        <v>21</v>
      </c>
      <c r="Y185" s="183">
        <v>217513410</v>
      </c>
      <c r="Z185" s="179" t="s">
        <v>270</v>
      </c>
      <c r="AA185" s="183">
        <v>1943580</v>
      </c>
      <c r="AB185" s="184">
        <v>3351000</v>
      </c>
      <c r="AC185" s="184">
        <v>5328090</v>
      </c>
      <c r="AD185" s="184">
        <v>703710</v>
      </c>
      <c r="AE185" s="184">
        <v>3619080</v>
      </c>
      <c r="AF185" s="177" t="s">
        <v>200</v>
      </c>
      <c r="AG185" s="184">
        <v>1876560</v>
      </c>
      <c r="AH185" s="184">
        <v>1641990</v>
      </c>
      <c r="AI185" s="184">
        <v>7305180</v>
      </c>
      <c r="AJ185" s="184">
        <v>16654470</v>
      </c>
      <c r="AK185" s="184">
        <v>2613780</v>
      </c>
      <c r="AL185" s="184">
        <v>9885450</v>
      </c>
      <c r="AM185" s="184">
        <v>737220</v>
      </c>
      <c r="AN185" s="184">
        <v>2814840</v>
      </c>
      <c r="AO185" s="184">
        <v>804240</v>
      </c>
      <c r="AP185" s="184">
        <v>16721490</v>
      </c>
      <c r="AQ185" s="184">
        <v>33510</v>
      </c>
      <c r="AR185" s="184">
        <v>16654470</v>
      </c>
      <c r="AS185" s="184">
        <v>24529320</v>
      </c>
      <c r="AT185" s="184">
        <v>0</v>
      </c>
      <c r="AU185" s="184">
        <v>536160</v>
      </c>
      <c r="AV185" s="184">
        <v>0</v>
      </c>
      <c r="AW185" s="184">
        <v>402120</v>
      </c>
      <c r="AX185" s="184">
        <v>41686440</v>
      </c>
      <c r="AY185" s="184">
        <v>335100</v>
      </c>
      <c r="AZ185" s="184">
        <v>16352880</v>
      </c>
      <c r="BA185" s="184">
        <v>5897760</v>
      </c>
      <c r="BB185" s="184">
        <v>1273380</v>
      </c>
      <c r="BC185" s="177" t="s">
        <v>200</v>
      </c>
      <c r="BD185" s="184">
        <v>3485040</v>
      </c>
      <c r="BE185" s="184">
        <v>2982390</v>
      </c>
      <c r="BF185" s="184">
        <v>1172850</v>
      </c>
      <c r="BG185" s="184">
        <v>23591040</v>
      </c>
      <c r="BH185" s="184">
        <v>837750</v>
      </c>
      <c r="BI185" s="184">
        <v>1742520</v>
      </c>
      <c r="BJ185" s="187" t="s">
        <v>200</v>
      </c>
    </row>
    <row r="186" spans="2:62" x14ac:dyDescent="0.2">
      <c r="B186" s="175">
        <v>45726</v>
      </c>
      <c r="C186" s="176">
        <v>45726.458911377318</v>
      </c>
      <c r="D186" s="177" t="s">
        <v>267</v>
      </c>
      <c r="E186" s="178" t="s">
        <v>268</v>
      </c>
      <c r="F186" s="179" t="s">
        <v>269</v>
      </c>
      <c r="G186" s="180">
        <v>68.180000000000007</v>
      </c>
      <c r="H186" s="181">
        <v>66</v>
      </c>
      <c r="I186" s="181">
        <v>120</v>
      </c>
      <c r="J186" s="181">
        <v>69.239999999999995</v>
      </c>
      <c r="K186" s="182">
        <v>68.180000000000007</v>
      </c>
      <c r="L186" s="183">
        <v>3245500</v>
      </c>
      <c r="M186" s="184">
        <v>4662500</v>
      </c>
      <c r="N186" s="184">
        <v>90</v>
      </c>
      <c r="O186" s="184">
        <v>45</v>
      </c>
      <c r="P186" s="181">
        <v>3.21</v>
      </c>
      <c r="Q186" s="184">
        <v>51806</v>
      </c>
      <c r="R186" s="184">
        <v>166518</v>
      </c>
      <c r="S186" s="184">
        <v>191949</v>
      </c>
      <c r="T186" s="184">
        <v>129820</v>
      </c>
      <c r="U186" s="184">
        <v>154464</v>
      </c>
      <c r="V186" s="182">
        <v>1.44</v>
      </c>
      <c r="W186" s="183">
        <v>28</v>
      </c>
      <c r="X186" s="185">
        <v>25</v>
      </c>
      <c r="Y186" s="183">
        <v>221278190</v>
      </c>
      <c r="Z186" s="179" t="s">
        <v>270</v>
      </c>
      <c r="AA186" s="183">
        <v>1977220</v>
      </c>
      <c r="AB186" s="184">
        <v>3409000</v>
      </c>
      <c r="AC186" s="184">
        <v>5420310</v>
      </c>
      <c r="AD186" s="184">
        <v>715890</v>
      </c>
      <c r="AE186" s="184">
        <v>3681720</v>
      </c>
      <c r="AF186" s="177" t="s">
        <v>200</v>
      </c>
      <c r="AG186" s="184">
        <v>1909040</v>
      </c>
      <c r="AH186" s="184">
        <v>1670410</v>
      </c>
      <c r="AI186" s="184">
        <v>7431620</v>
      </c>
      <c r="AJ186" s="184">
        <v>16942730</v>
      </c>
      <c r="AK186" s="184">
        <v>2659020</v>
      </c>
      <c r="AL186" s="184">
        <v>10056550</v>
      </c>
      <c r="AM186" s="184">
        <v>749980</v>
      </c>
      <c r="AN186" s="184">
        <v>2863560</v>
      </c>
      <c r="AO186" s="184">
        <v>818160</v>
      </c>
      <c r="AP186" s="184">
        <v>17010910</v>
      </c>
      <c r="AQ186" s="184">
        <v>34090</v>
      </c>
      <c r="AR186" s="184">
        <v>16942730</v>
      </c>
      <c r="AS186" s="184">
        <v>24953880</v>
      </c>
      <c r="AT186" s="184">
        <v>0</v>
      </c>
      <c r="AU186" s="184">
        <v>545440</v>
      </c>
      <c r="AV186" s="184">
        <v>0</v>
      </c>
      <c r="AW186" s="184">
        <v>409080</v>
      </c>
      <c r="AX186" s="184">
        <v>42407960</v>
      </c>
      <c r="AY186" s="184">
        <v>340900</v>
      </c>
      <c r="AZ186" s="184">
        <v>16635920</v>
      </c>
      <c r="BA186" s="184">
        <v>5999840</v>
      </c>
      <c r="BB186" s="184">
        <v>1295420</v>
      </c>
      <c r="BC186" s="177" t="s">
        <v>200</v>
      </c>
      <c r="BD186" s="184">
        <v>3545360</v>
      </c>
      <c r="BE186" s="184">
        <v>3034010</v>
      </c>
      <c r="BF186" s="184">
        <v>1193150</v>
      </c>
      <c r="BG186" s="184">
        <v>23999360</v>
      </c>
      <c r="BH186" s="184">
        <v>852250</v>
      </c>
      <c r="BI186" s="184">
        <v>1772680</v>
      </c>
      <c r="BJ186" s="187" t="s">
        <v>200</v>
      </c>
    </row>
    <row r="187" spans="2:62" x14ac:dyDescent="0.2">
      <c r="B187" s="175">
        <v>45723</v>
      </c>
      <c r="C187" s="176">
        <v>45723.458603472223</v>
      </c>
      <c r="D187" s="177" t="s">
        <v>271</v>
      </c>
      <c r="E187" s="178" t="s">
        <v>268</v>
      </c>
      <c r="F187" s="179" t="s">
        <v>269</v>
      </c>
      <c r="G187" s="180">
        <v>67.77</v>
      </c>
      <c r="H187" s="181">
        <v>60</v>
      </c>
      <c r="I187" s="181">
        <v>120</v>
      </c>
      <c r="J187" s="181">
        <v>67.81</v>
      </c>
      <c r="K187" s="182">
        <v>67.11</v>
      </c>
      <c r="L187" s="183">
        <v>1607000</v>
      </c>
      <c r="M187" s="184">
        <v>3894000</v>
      </c>
      <c r="N187" s="184">
        <v>98</v>
      </c>
      <c r="O187" s="184">
        <v>16</v>
      </c>
      <c r="P187" s="181">
        <v>4.08</v>
      </c>
      <c r="Q187" s="184">
        <v>39735</v>
      </c>
      <c r="R187" s="184">
        <v>162250</v>
      </c>
      <c r="S187" s="184">
        <v>148754</v>
      </c>
      <c r="T187" s="184">
        <v>178556</v>
      </c>
      <c r="U187" s="184">
        <v>188164</v>
      </c>
      <c r="V187" s="182">
        <v>2.42</v>
      </c>
      <c r="W187" s="183">
        <v>24</v>
      </c>
      <c r="X187" s="185">
        <v>9</v>
      </c>
      <c r="Y187" s="183">
        <v>108906390</v>
      </c>
      <c r="Z187" s="179" t="s">
        <v>272</v>
      </c>
      <c r="AA187" s="186" t="s">
        <v>200</v>
      </c>
      <c r="AB187" s="177" t="s">
        <v>200</v>
      </c>
      <c r="AC187" s="177" t="s">
        <v>200</v>
      </c>
      <c r="AD187" s="177" t="s">
        <v>200</v>
      </c>
      <c r="AE187" s="177" t="s">
        <v>200</v>
      </c>
      <c r="AF187" s="184">
        <v>108906390</v>
      </c>
      <c r="AG187" s="177" t="s">
        <v>200</v>
      </c>
      <c r="AH187" s="177" t="s">
        <v>200</v>
      </c>
      <c r="AI187" s="177" t="s">
        <v>200</v>
      </c>
      <c r="AJ187" s="177" t="s">
        <v>200</v>
      </c>
      <c r="AK187" s="177" t="s">
        <v>200</v>
      </c>
      <c r="AL187" s="177" t="s">
        <v>200</v>
      </c>
      <c r="AM187" s="177" t="s">
        <v>200</v>
      </c>
      <c r="AN187" s="177" t="s">
        <v>200</v>
      </c>
      <c r="AO187" s="177" t="s">
        <v>200</v>
      </c>
      <c r="AP187" s="177" t="s">
        <v>200</v>
      </c>
      <c r="AQ187" s="177" t="s">
        <v>200</v>
      </c>
      <c r="AR187" s="177" t="s">
        <v>200</v>
      </c>
      <c r="AS187" s="177" t="s">
        <v>200</v>
      </c>
      <c r="AT187" s="177" t="s">
        <v>200</v>
      </c>
      <c r="AU187" s="177" t="s">
        <v>200</v>
      </c>
      <c r="AV187" s="177" t="s">
        <v>200</v>
      </c>
      <c r="AW187" s="177" t="s">
        <v>200</v>
      </c>
      <c r="AX187" s="177" t="s">
        <v>200</v>
      </c>
      <c r="AY187" s="177" t="s">
        <v>200</v>
      </c>
      <c r="AZ187" s="177" t="s">
        <v>200</v>
      </c>
      <c r="BA187" s="177" t="s">
        <v>200</v>
      </c>
      <c r="BB187" s="177" t="s">
        <v>200</v>
      </c>
      <c r="BC187" s="177" t="s">
        <v>200</v>
      </c>
      <c r="BD187" s="177" t="s">
        <v>200</v>
      </c>
      <c r="BE187" s="177" t="s">
        <v>200</v>
      </c>
      <c r="BF187" s="177" t="s">
        <v>200</v>
      </c>
      <c r="BG187" s="177" t="s">
        <v>200</v>
      </c>
      <c r="BH187" s="177" t="s">
        <v>200</v>
      </c>
      <c r="BI187" s="177" t="s">
        <v>200</v>
      </c>
      <c r="BJ187" s="187" t="s">
        <v>200</v>
      </c>
    </row>
    <row r="188" spans="2:62" x14ac:dyDescent="0.2">
      <c r="B188" s="175">
        <v>45722</v>
      </c>
      <c r="C188" s="176">
        <v>45722.458699629628</v>
      </c>
      <c r="D188" s="177" t="s">
        <v>267</v>
      </c>
      <c r="E188" s="178" t="s">
        <v>268</v>
      </c>
      <c r="F188" s="179" t="s">
        <v>269</v>
      </c>
      <c r="G188" s="180">
        <v>66.58</v>
      </c>
      <c r="H188" s="181">
        <v>65.099999999999994</v>
      </c>
      <c r="I188" s="181">
        <v>120</v>
      </c>
      <c r="J188" s="181">
        <v>67.400000000000006</v>
      </c>
      <c r="K188" s="182">
        <v>66.53</v>
      </c>
      <c r="L188" s="183">
        <v>3245500</v>
      </c>
      <c r="M188" s="184">
        <v>4974000</v>
      </c>
      <c r="N188" s="184">
        <v>112</v>
      </c>
      <c r="O188" s="184">
        <v>47</v>
      </c>
      <c r="P188" s="181">
        <v>4</v>
      </c>
      <c r="Q188" s="184">
        <v>44411</v>
      </c>
      <c r="R188" s="184">
        <v>177643</v>
      </c>
      <c r="S188" s="184">
        <v>204423</v>
      </c>
      <c r="T188" s="184">
        <v>124827</v>
      </c>
      <c r="U188" s="184">
        <v>165486</v>
      </c>
      <c r="V188" s="182">
        <v>1.53</v>
      </c>
      <c r="W188" s="183">
        <v>28</v>
      </c>
      <c r="X188" s="185">
        <v>26</v>
      </c>
      <c r="Y188" s="183">
        <v>216085390</v>
      </c>
      <c r="Z188" s="179" t="s">
        <v>270</v>
      </c>
      <c r="AA188" s="183">
        <v>1930820</v>
      </c>
      <c r="AB188" s="184">
        <v>3329000</v>
      </c>
      <c r="AC188" s="184">
        <v>5293110</v>
      </c>
      <c r="AD188" s="184">
        <v>699090</v>
      </c>
      <c r="AE188" s="184">
        <v>3595320</v>
      </c>
      <c r="AF188" s="177" t="s">
        <v>200</v>
      </c>
      <c r="AG188" s="184">
        <v>1864240</v>
      </c>
      <c r="AH188" s="184">
        <v>1631210</v>
      </c>
      <c r="AI188" s="184">
        <v>7257220</v>
      </c>
      <c r="AJ188" s="184">
        <v>16545130</v>
      </c>
      <c r="AK188" s="184">
        <v>2596620</v>
      </c>
      <c r="AL188" s="184">
        <v>9820550</v>
      </c>
      <c r="AM188" s="184">
        <v>732380</v>
      </c>
      <c r="AN188" s="184">
        <v>2796360</v>
      </c>
      <c r="AO188" s="184">
        <v>798960</v>
      </c>
      <c r="AP188" s="184">
        <v>16611710</v>
      </c>
      <c r="AQ188" s="184">
        <v>33290</v>
      </c>
      <c r="AR188" s="184">
        <v>16545130</v>
      </c>
      <c r="AS188" s="184">
        <v>24368280</v>
      </c>
      <c r="AT188" s="184">
        <v>0</v>
      </c>
      <c r="AU188" s="184">
        <v>532640</v>
      </c>
      <c r="AV188" s="184">
        <v>0</v>
      </c>
      <c r="AW188" s="184">
        <v>399480</v>
      </c>
      <c r="AX188" s="184">
        <v>41412760</v>
      </c>
      <c r="AY188" s="184">
        <v>332900</v>
      </c>
      <c r="AZ188" s="184">
        <v>16245520</v>
      </c>
      <c r="BA188" s="184">
        <v>5859040</v>
      </c>
      <c r="BB188" s="184">
        <v>1265020</v>
      </c>
      <c r="BC188" s="177" t="s">
        <v>200</v>
      </c>
      <c r="BD188" s="184">
        <v>3462160</v>
      </c>
      <c r="BE188" s="184">
        <v>2962810</v>
      </c>
      <c r="BF188" s="184">
        <v>1165150</v>
      </c>
      <c r="BG188" s="184">
        <v>23436160</v>
      </c>
      <c r="BH188" s="184">
        <v>832250</v>
      </c>
      <c r="BI188" s="184">
        <v>1731080</v>
      </c>
      <c r="BJ188" s="187" t="s">
        <v>200</v>
      </c>
    </row>
    <row r="189" spans="2:62" x14ac:dyDescent="0.2">
      <c r="B189" s="175">
        <v>45721</v>
      </c>
      <c r="C189" s="176">
        <v>45721.458677627314</v>
      </c>
      <c r="D189" s="177" t="s">
        <v>273</v>
      </c>
      <c r="E189" s="178" t="s">
        <v>268</v>
      </c>
      <c r="F189" s="179" t="s">
        <v>269</v>
      </c>
      <c r="G189" s="180">
        <v>67.989999999999995</v>
      </c>
      <c r="H189" s="181">
        <v>65.38</v>
      </c>
      <c r="I189" s="181">
        <v>120</v>
      </c>
      <c r="J189" s="181">
        <v>68.17</v>
      </c>
      <c r="K189" s="182">
        <v>67.28</v>
      </c>
      <c r="L189" s="183">
        <v>2072500</v>
      </c>
      <c r="M189" s="184">
        <v>5123000</v>
      </c>
      <c r="N189" s="184">
        <v>102</v>
      </c>
      <c r="O189" s="184">
        <v>18</v>
      </c>
      <c r="P189" s="181">
        <v>3.92</v>
      </c>
      <c r="Q189" s="184">
        <v>50225</v>
      </c>
      <c r="R189" s="184">
        <v>197038</v>
      </c>
      <c r="S189" s="184">
        <v>180650</v>
      </c>
      <c r="T189" s="184">
        <v>172708</v>
      </c>
      <c r="U189" s="184">
        <v>175773</v>
      </c>
      <c r="V189" s="182">
        <v>2.4700000000000002</v>
      </c>
      <c r="W189" s="183">
        <v>26</v>
      </c>
      <c r="X189" s="185">
        <v>12</v>
      </c>
      <c r="Y189" s="183">
        <v>140909275</v>
      </c>
      <c r="Z189" s="179" t="s">
        <v>274</v>
      </c>
      <c r="AA189" s="186" t="s">
        <v>200</v>
      </c>
      <c r="AB189" s="177" t="s">
        <v>200</v>
      </c>
      <c r="AC189" s="177" t="s">
        <v>200</v>
      </c>
      <c r="AD189" s="177" t="s">
        <v>200</v>
      </c>
      <c r="AE189" s="177" t="s">
        <v>200</v>
      </c>
      <c r="AF189" s="177" t="s">
        <v>200</v>
      </c>
      <c r="AG189" s="177" t="s">
        <v>200</v>
      </c>
      <c r="AH189" s="177" t="s">
        <v>200</v>
      </c>
      <c r="AI189" s="177" t="s">
        <v>200</v>
      </c>
      <c r="AJ189" s="177" t="s">
        <v>200</v>
      </c>
      <c r="AK189" s="177" t="s">
        <v>200</v>
      </c>
      <c r="AL189" s="177" t="s">
        <v>200</v>
      </c>
      <c r="AM189" s="177" t="s">
        <v>200</v>
      </c>
      <c r="AN189" s="177" t="s">
        <v>200</v>
      </c>
      <c r="AO189" s="177" t="s">
        <v>200</v>
      </c>
      <c r="AP189" s="177" t="s">
        <v>200</v>
      </c>
      <c r="AQ189" s="177" t="s">
        <v>200</v>
      </c>
      <c r="AR189" s="177" t="s">
        <v>200</v>
      </c>
      <c r="AS189" s="177" t="s">
        <v>200</v>
      </c>
      <c r="AT189" s="177" t="s">
        <v>200</v>
      </c>
      <c r="AU189" s="177" t="s">
        <v>200</v>
      </c>
      <c r="AV189" s="177" t="s">
        <v>200</v>
      </c>
      <c r="AW189" s="177" t="s">
        <v>200</v>
      </c>
      <c r="AX189" s="177" t="s">
        <v>200</v>
      </c>
      <c r="AY189" s="177" t="s">
        <v>200</v>
      </c>
      <c r="AZ189" s="177" t="s">
        <v>200</v>
      </c>
      <c r="BA189" s="177" t="s">
        <v>200</v>
      </c>
      <c r="BB189" s="177" t="s">
        <v>200</v>
      </c>
      <c r="BC189" s="184">
        <v>140909275</v>
      </c>
      <c r="BD189" s="177" t="s">
        <v>200</v>
      </c>
      <c r="BE189" s="177" t="s">
        <v>200</v>
      </c>
      <c r="BF189" s="177" t="s">
        <v>200</v>
      </c>
      <c r="BG189" s="177" t="s">
        <v>200</v>
      </c>
      <c r="BH189" s="177" t="s">
        <v>200</v>
      </c>
      <c r="BI189" s="177" t="s">
        <v>200</v>
      </c>
      <c r="BJ189" s="187" t="s">
        <v>200</v>
      </c>
    </row>
    <row r="190" spans="2:62" x14ac:dyDescent="0.2">
      <c r="B190" s="175">
        <v>45720</v>
      </c>
      <c r="C190" s="176">
        <v>45720.458603993058</v>
      </c>
      <c r="D190" s="177" t="s">
        <v>267</v>
      </c>
      <c r="E190" s="178" t="s">
        <v>268</v>
      </c>
      <c r="F190" s="179" t="s">
        <v>269</v>
      </c>
      <c r="G190" s="180">
        <v>68.099999999999994</v>
      </c>
      <c r="H190" s="181">
        <v>66.25</v>
      </c>
      <c r="I190" s="181">
        <v>120</v>
      </c>
      <c r="J190" s="181">
        <v>68.86</v>
      </c>
      <c r="K190" s="182">
        <v>68.010000000000005</v>
      </c>
      <c r="L190" s="183">
        <v>3245500</v>
      </c>
      <c r="M190" s="184">
        <v>5395500</v>
      </c>
      <c r="N190" s="184">
        <v>107</v>
      </c>
      <c r="O190" s="184">
        <v>47</v>
      </c>
      <c r="P190" s="181">
        <v>4.28</v>
      </c>
      <c r="Q190" s="184">
        <v>50425</v>
      </c>
      <c r="R190" s="184">
        <v>215820</v>
      </c>
      <c r="S190" s="184">
        <v>192453</v>
      </c>
      <c r="T190" s="184">
        <v>135229</v>
      </c>
      <c r="U190" s="184">
        <v>149162</v>
      </c>
      <c r="V190" s="182">
        <v>1.66</v>
      </c>
      <c r="W190" s="183">
        <v>25</v>
      </c>
      <c r="X190" s="185">
        <v>24</v>
      </c>
      <c r="Y190" s="183">
        <v>221018550</v>
      </c>
      <c r="Z190" s="179" t="s">
        <v>270</v>
      </c>
      <c r="AA190" s="183">
        <v>1974900</v>
      </c>
      <c r="AB190" s="184">
        <v>3405000</v>
      </c>
      <c r="AC190" s="184">
        <v>5413950</v>
      </c>
      <c r="AD190" s="184">
        <v>715050</v>
      </c>
      <c r="AE190" s="184">
        <v>3677400</v>
      </c>
      <c r="AF190" s="177" t="s">
        <v>200</v>
      </c>
      <c r="AG190" s="184">
        <v>1906800</v>
      </c>
      <c r="AH190" s="184">
        <v>1668450</v>
      </c>
      <c r="AI190" s="184">
        <v>7422900</v>
      </c>
      <c r="AJ190" s="184">
        <v>16922850</v>
      </c>
      <c r="AK190" s="184">
        <v>2655900</v>
      </c>
      <c r="AL190" s="184">
        <v>10044750</v>
      </c>
      <c r="AM190" s="184">
        <v>749100</v>
      </c>
      <c r="AN190" s="184">
        <v>2860200</v>
      </c>
      <c r="AO190" s="184">
        <v>817200</v>
      </c>
      <c r="AP190" s="184">
        <v>16990950</v>
      </c>
      <c r="AQ190" s="184">
        <v>34050</v>
      </c>
      <c r="AR190" s="184">
        <v>16922850</v>
      </c>
      <c r="AS190" s="184">
        <v>24924600</v>
      </c>
      <c r="AT190" s="184">
        <v>0</v>
      </c>
      <c r="AU190" s="184">
        <v>544800</v>
      </c>
      <c r="AV190" s="184">
        <v>0</v>
      </c>
      <c r="AW190" s="184">
        <v>408600</v>
      </c>
      <c r="AX190" s="184">
        <v>42358200</v>
      </c>
      <c r="AY190" s="184">
        <v>340500</v>
      </c>
      <c r="AZ190" s="184">
        <v>16616400</v>
      </c>
      <c r="BA190" s="184">
        <v>5992800</v>
      </c>
      <c r="BB190" s="184">
        <v>1293900</v>
      </c>
      <c r="BC190" s="177" t="s">
        <v>200</v>
      </c>
      <c r="BD190" s="184">
        <v>3541200</v>
      </c>
      <c r="BE190" s="184">
        <v>3030450</v>
      </c>
      <c r="BF190" s="184">
        <v>1191750</v>
      </c>
      <c r="BG190" s="184">
        <v>23971200</v>
      </c>
      <c r="BH190" s="184">
        <v>851250</v>
      </c>
      <c r="BI190" s="184">
        <v>1770600</v>
      </c>
      <c r="BJ190" s="187" t="s">
        <v>200</v>
      </c>
    </row>
    <row r="191" spans="2:62" x14ac:dyDescent="0.2">
      <c r="B191" s="175">
        <v>45719</v>
      </c>
      <c r="C191" s="176">
        <v>45719.458774004626</v>
      </c>
      <c r="D191" s="177" t="s">
        <v>267</v>
      </c>
      <c r="E191" s="178" t="s">
        <v>268</v>
      </c>
      <c r="F191" s="179" t="s">
        <v>269</v>
      </c>
      <c r="G191" s="180">
        <v>70.31</v>
      </c>
      <c r="H191" s="181">
        <v>68</v>
      </c>
      <c r="I191" s="181">
        <v>120</v>
      </c>
      <c r="J191" s="181">
        <v>70.819999999999993</v>
      </c>
      <c r="K191" s="182">
        <v>70.010000000000005</v>
      </c>
      <c r="L191" s="183">
        <v>3245500</v>
      </c>
      <c r="M191" s="184">
        <v>5154500</v>
      </c>
      <c r="N191" s="184">
        <v>111</v>
      </c>
      <c r="O191" s="184">
        <v>30</v>
      </c>
      <c r="P191" s="181">
        <v>3.96</v>
      </c>
      <c r="Q191" s="184">
        <v>46437</v>
      </c>
      <c r="R191" s="184">
        <v>184089</v>
      </c>
      <c r="S191" s="184">
        <v>215730</v>
      </c>
      <c r="T191" s="184">
        <v>162275</v>
      </c>
      <c r="U191" s="184">
        <v>195627</v>
      </c>
      <c r="V191" s="182">
        <v>1.59</v>
      </c>
      <c r="W191" s="183">
        <v>28</v>
      </c>
      <c r="X191" s="185">
        <v>20</v>
      </c>
      <c r="Y191" s="183">
        <v>228191105</v>
      </c>
      <c r="Z191" s="179" t="s">
        <v>270</v>
      </c>
      <c r="AA191" s="183">
        <v>2038990</v>
      </c>
      <c r="AB191" s="184">
        <v>3515500</v>
      </c>
      <c r="AC191" s="184">
        <v>5589645</v>
      </c>
      <c r="AD191" s="184">
        <v>738255</v>
      </c>
      <c r="AE191" s="184">
        <v>3796740</v>
      </c>
      <c r="AF191" s="177" t="s">
        <v>200</v>
      </c>
      <c r="AG191" s="184">
        <v>1968680</v>
      </c>
      <c r="AH191" s="184">
        <v>1722595</v>
      </c>
      <c r="AI191" s="184">
        <v>7663790</v>
      </c>
      <c r="AJ191" s="184">
        <v>17472035</v>
      </c>
      <c r="AK191" s="184">
        <v>2742090</v>
      </c>
      <c r="AL191" s="184">
        <v>10370725</v>
      </c>
      <c r="AM191" s="184">
        <v>773410</v>
      </c>
      <c r="AN191" s="184">
        <v>2953020</v>
      </c>
      <c r="AO191" s="184">
        <v>843720</v>
      </c>
      <c r="AP191" s="184">
        <v>17542345</v>
      </c>
      <c r="AQ191" s="184">
        <v>35155</v>
      </c>
      <c r="AR191" s="184">
        <v>17472035</v>
      </c>
      <c r="AS191" s="184">
        <v>25733460</v>
      </c>
      <c r="AT191" s="184">
        <v>0</v>
      </c>
      <c r="AU191" s="184">
        <v>562480</v>
      </c>
      <c r="AV191" s="184">
        <v>0</v>
      </c>
      <c r="AW191" s="184">
        <v>421860</v>
      </c>
      <c r="AX191" s="184">
        <v>43732820</v>
      </c>
      <c r="AY191" s="184">
        <v>351550</v>
      </c>
      <c r="AZ191" s="184">
        <v>17155640</v>
      </c>
      <c r="BA191" s="184">
        <v>6187280</v>
      </c>
      <c r="BB191" s="184">
        <v>1335890</v>
      </c>
      <c r="BC191" s="177" t="s">
        <v>200</v>
      </c>
      <c r="BD191" s="184">
        <v>3656120</v>
      </c>
      <c r="BE191" s="184">
        <v>3128795</v>
      </c>
      <c r="BF191" s="184">
        <v>1230425</v>
      </c>
      <c r="BG191" s="184">
        <v>24749120</v>
      </c>
      <c r="BH191" s="184">
        <v>878875</v>
      </c>
      <c r="BI191" s="184">
        <v>1828060</v>
      </c>
      <c r="BJ191" s="187" t="s">
        <v>200</v>
      </c>
    </row>
    <row r="192" spans="2:62" x14ac:dyDescent="0.2">
      <c r="B192" s="175">
        <v>45716</v>
      </c>
      <c r="C192" s="176">
        <v>45716.458689305553</v>
      </c>
      <c r="D192" s="177" t="s">
        <v>271</v>
      </c>
      <c r="E192" s="178" t="s">
        <v>268</v>
      </c>
      <c r="F192" s="179" t="s">
        <v>269</v>
      </c>
      <c r="G192" s="180">
        <v>70.650000000000006</v>
      </c>
      <c r="H192" s="181">
        <v>68.099999999999994</v>
      </c>
      <c r="I192" s="181">
        <v>120</v>
      </c>
      <c r="J192" s="181">
        <v>70.83</v>
      </c>
      <c r="K192" s="182">
        <v>70.150000000000006</v>
      </c>
      <c r="L192" s="183">
        <v>1607000</v>
      </c>
      <c r="M192" s="184">
        <v>4172000</v>
      </c>
      <c r="N192" s="184">
        <v>100</v>
      </c>
      <c r="O192" s="184">
        <v>21</v>
      </c>
      <c r="P192" s="181">
        <v>3.45</v>
      </c>
      <c r="Q192" s="184">
        <v>41720</v>
      </c>
      <c r="R192" s="184">
        <v>143862</v>
      </c>
      <c r="S192" s="184">
        <v>143595</v>
      </c>
      <c r="T192" s="184">
        <v>107133</v>
      </c>
      <c r="U192" s="184">
        <v>132856</v>
      </c>
      <c r="V192" s="182">
        <v>2.6</v>
      </c>
      <c r="W192" s="183">
        <v>29</v>
      </c>
      <c r="X192" s="185">
        <v>15</v>
      </c>
      <c r="Y192" s="183">
        <v>113534550</v>
      </c>
      <c r="Z192" s="179" t="s">
        <v>272</v>
      </c>
      <c r="AA192" s="186" t="s">
        <v>200</v>
      </c>
      <c r="AB192" s="177" t="s">
        <v>200</v>
      </c>
      <c r="AC192" s="177" t="s">
        <v>200</v>
      </c>
      <c r="AD192" s="177" t="s">
        <v>200</v>
      </c>
      <c r="AE192" s="177" t="s">
        <v>200</v>
      </c>
      <c r="AF192" s="184">
        <v>113534550</v>
      </c>
      <c r="AG192" s="177" t="s">
        <v>200</v>
      </c>
      <c r="AH192" s="177" t="s">
        <v>200</v>
      </c>
      <c r="AI192" s="177" t="s">
        <v>200</v>
      </c>
      <c r="AJ192" s="177" t="s">
        <v>200</v>
      </c>
      <c r="AK192" s="177" t="s">
        <v>200</v>
      </c>
      <c r="AL192" s="177" t="s">
        <v>200</v>
      </c>
      <c r="AM192" s="177" t="s">
        <v>200</v>
      </c>
      <c r="AN192" s="177" t="s">
        <v>200</v>
      </c>
      <c r="AO192" s="177" t="s">
        <v>200</v>
      </c>
      <c r="AP192" s="177" t="s">
        <v>200</v>
      </c>
      <c r="AQ192" s="177" t="s">
        <v>200</v>
      </c>
      <c r="AR192" s="177" t="s">
        <v>200</v>
      </c>
      <c r="AS192" s="177" t="s">
        <v>200</v>
      </c>
      <c r="AT192" s="177" t="s">
        <v>200</v>
      </c>
      <c r="AU192" s="177" t="s">
        <v>200</v>
      </c>
      <c r="AV192" s="177" t="s">
        <v>200</v>
      </c>
      <c r="AW192" s="177" t="s">
        <v>200</v>
      </c>
      <c r="AX192" s="177" t="s">
        <v>200</v>
      </c>
      <c r="AY192" s="177" t="s">
        <v>200</v>
      </c>
      <c r="AZ192" s="177" t="s">
        <v>200</v>
      </c>
      <c r="BA192" s="177" t="s">
        <v>200</v>
      </c>
      <c r="BB192" s="177" t="s">
        <v>200</v>
      </c>
      <c r="BC192" s="177" t="s">
        <v>200</v>
      </c>
      <c r="BD192" s="177" t="s">
        <v>200</v>
      </c>
      <c r="BE192" s="177" t="s">
        <v>200</v>
      </c>
      <c r="BF192" s="177" t="s">
        <v>200</v>
      </c>
      <c r="BG192" s="177" t="s">
        <v>200</v>
      </c>
      <c r="BH192" s="177" t="s">
        <v>200</v>
      </c>
      <c r="BI192" s="177" t="s">
        <v>200</v>
      </c>
      <c r="BJ192" s="187" t="s">
        <v>200</v>
      </c>
    </row>
    <row r="193" spans="2:62" x14ac:dyDescent="0.2">
      <c r="B193" s="175">
        <v>45715</v>
      </c>
      <c r="C193" s="176">
        <v>45715.45863616898</v>
      </c>
      <c r="D193" s="177" t="s">
        <v>267</v>
      </c>
      <c r="E193" s="178" t="s">
        <v>268</v>
      </c>
      <c r="F193" s="179" t="s">
        <v>269</v>
      </c>
      <c r="G193" s="180">
        <v>69.959999999999994</v>
      </c>
      <c r="H193" s="181">
        <v>0.01</v>
      </c>
      <c r="I193" s="181">
        <v>120</v>
      </c>
      <c r="J193" s="181">
        <v>68.7</v>
      </c>
      <c r="K193" s="182">
        <v>69.75</v>
      </c>
      <c r="L193" s="183">
        <v>3245500</v>
      </c>
      <c r="M193" s="184">
        <v>6506500</v>
      </c>
      <c r="N193" s="184">
        <v>113</v>
      </c>
      <c r="O193" s="184">
        <v>36</v>
      </c>
      <c r="P193" s="181">
        <v>3.77</v>
      </c>
      <c r="Q193" s="184">
        <v>57580</v>
      </c>
      <c r="R193" s="184">
        <v>216883</v>
      </c>
      <c r="S193" s="184">
        <v>347576</v>
      </c>
      <c r="T193" s="184">
        <v>141109</v>
      </c>
      <c r="U193" s="184">
        <v>235438</v>
      </c>
      <c r="V193" s="182">
        <v>2</v>
      </c>
      <c r="W193" s="183">
        <v>30</v>
      </c>
      <c r="X193" s="185">
        <v>23</v>
      </c>
      <c r="Y193" s="183">
        <v>227055180</v>
      </c>
      <c r="Z193" s="179" t="s">
        <v>270</v>
      </c>
      <c r="AA193" s="183">
        <v>2028840</v>
      </c>
      <c r="AB193" s="184">
        <v>3498000</v>
      </c>
      <c r="AC193" s="184">
        <v>5561820</v>
      </c>
      <c r="AD193" s="184">
        <v>734580</v>
      </c>
      <c r="AE193" s="184">
        <v>3777840</v>
      </c>
      <c r="AF193" s="177" t="s">
        <v>200</v>
      </c>
      <c r="AG193" s="184">
        <v>1958880</v>
      </c>
      <c r="AH193" s="184">
        <v>1714020</v>
      </c>
      <c r="AI193" s="184">
        <v>7625640</v>
      </c>
      <c r="AJ193" s="184">
        <v>17385060</v>
      </c>
      <c r="AK193" s="184">
        <v>2728440</v>
      </c>
      <c r="AL193" s="184">
        <v>10319100</v>
      </c>
      <c r="AM193" s="184">
        <v>769560</v>
      </c>
      <c r="AN193" s="184">
        <v>2938320</v>
      </c>
      <c r="AO193" s="184">
        <v>839520</v>
      </c>
      <c r="AP193" s="184">
        <v>17455020</v>
      </c>
      <c r="AQ193" s="184">
        <v>34980</v>
      </c>
      <c r="AR193" s="184">
        <v>17385060</v>
      </c>
      <c r="AS193" s="184">
        <v>25605360</v>
      </c>
      <c r="AT193" s="184">
        <v>0</v>
      </c>
      <c r="AU193" s="184">
        <v>559680</v>
      </c>
      <c r="AV193" s="184">
        <v>0</v>
      </c>
      <c r="AW193" s="184">
        <v>419760</v>
      </c>
      <c r="AX193" s="184">
        <v>43515120</v>
      </c>
      <c r="AY193" s="184">
        <v>349800</v>
      </c>
      <c r="AZ193" s="184">
        <v>17070240</v>
      </c>
      <c r="BA193" s="184">
        <v>6156480</v>
      </c>
      <c r="BB193" s="184">
        <v>1329240</v>
      </c>
      <c r="BC193" s="177" t="s">
        <v>200</v>
      </c>
      <c r="BD193" s="184">
        <v>3637920</v>
      </c>
      <c r="BE193" s="184">
        <v>3113220</v>
      </c>
      <c r="BF193" s="184">
        <v>1224300</v>
      </c>
      <c r="BG193" s="184">
        <v>24625920</v>
      </c>
      <c r="BH193" s="184">
        <v>874500</v>
      </c>
      <c r="BI193" s="184">
        <v>1818960</v>
      </c>
      <c r="BJ193" s="187" t="s">
        <v>200</v>
      </c>
    </row>
    <row r="194" spans="2:62" x14ac:dyDescent="0.2">
      <c r="B194" s="175">
        <v>45713</v>
      </c>
      <c r="C194" s="176">
        <v>45713.458695810186</v>
      </c>
      <c r="D194" s="177" t="s">
        <v>267</v>
      </c>
      <c r="E194" s="178" t="s">
        <v>268</v>
      </c>
      <c r="F194" s="179" t="s">
        <v>269</v>
      </c>
      <c r="G194" s="180">
        <v>71.150000000000006</v>
      </c>
      <c r="H194" s="181">
        <v>69.61</v>
      </c>
      <c r="I194" s="181">
        <v>120</v>
      </c>
      <c r="J194" s="181">
        <v>72.709999999999994</v>
      </c>
      <c r="K194" s="182">
        <v>70.94</v>
      </c>
      <c r="L194" s="183">
        <v>3245500</v>
      </c>
      <c r="M194" s="184">
        <v>5571500</v>
      </c>
      <c r="N194" s="184">
        <v>99</v>
      </c>
      <c r="O194" s="184">
        <v>36</v>
      </c>
      <c r="P194" s="181">
        <v>3.54</v>
      </c>
      <c r="Q194" s="184">
        <v>56278</v>
      </c>
      <c r="R194" s="184">
        <v>198982</v>
      </c>
      <c r="S194" s="184">
        <v>204849</v>
      </c>
      <c r="T194" s="184">
        <v>141109</v>
      </c>
      <c r="U194" s="184">
        <v>176288</v>
      </c>
      <c r="V194" s="182">
        <v>1.72</v>
      </c>
      <c r="W194" s="183">
        <v>28</v>
      </c>
      <c r="X194" s="185">
        <v>23</v>
      </c>
      <c r="Y194" s="183">
        <v>230917325</v>
      </c>
      <c r="Z194" s="179" t="s">
        <v>270</v>
      </c>
      <c r="AA194" s="183">
        <v>2063350</v>
      </c>
      <c r="AB194" s="184">
        <v>3557500</v>
      </c>
      <c r="AC194" s="184">
        <v>5656425</v>
      </c>
      <c r="AD194" s="184">
        <v>747075</v>
      </c>
      <c r="AE194" s="184">
        <v>3842100</v>
      </c>
      <c r="AF194" s="177" t="s">
        <v>200</v>
      </c>
      <c r="AG194" s="184">
        <v>1992200</v>
      </c>
      <c r="AH194" s="184">
        <v>1743175</v>
      </c>
      <c r="AI194" s="184">
        <v>7755350</v>
      </c>
      <c r="AJ194" s="184">
        <v>17680775</v>
      </c>
      <c r="AK194" s="184">
        <v>2774850</v>
      </c>
      <c r="AL194" s="184">
        <v>10494625</v>
      </c>
      <c r="AM194" s="184">
        <v>782650</v>
      </c>
      <c r="AN194" s="184">
        <v>2988300</v>
      </c>
      <c r="AO194" s="184">
        <v>853800</v>
      </c>
      <c r="AP194" s="184">
        <v>17751925</v>
      </c>
      <c r="AQ194" s="184">
        <v>35575</v>
      </c>
      <c r="AR194" s="184">
        <v>17680775</v>
      </c>
      <c r="AS194" s="184">
        <v>26040900</v>
      </c>
      <c r="AT194" s="184">
        <v>0</v>
      </c>
      <c r="AU194" s="184">
        <v>569200</v>
      </c>
      <c r="AV194" s="184">
        <v>0</v>
      </c>
      <c r="AW194" s="184">
        <v>426900</v>
      </c>
      <c r="AX194" s="184">
        <v>44255300</v>
      </c>
      <c r="AY194" s="184">
        <v>355750</v>
      </c>
      <c r="AZ194" s="184">
        <v>17360600</v>
      </c>
      <c r="BA194" s="184">
        <v>6261200</v>
      </c>
      <c r="BB194" s="184">
        <v>1351850</v>
      </c>
      <c r="BC194" s="177" t="s">
        <v>200</v>
      </c>
      <c r="BD194" s="184">
        <v>3699800</v>
      </c>
      <c r="BE194" s="184">
        <v>3166175</v>
      </c>
      <c r="BF194" s="184">
        <v>1245125</v>
      </c>
      <c r="BG194" s="184">
        <v>25044800</v>
      </c>
      <c r="BH194" s="184">
        <v>889375</v>
      </c>
      <c r="BI194" s="184">
        <v>1849900</v>
      </c>
      <c r="BJ194" s="187" t="s">
        <v>200</v>
      </c>
    </row>
    <row r="195" spans="2:62" x14ac:dyDescent="0.2">
      <c r="B195" s="175">
        <v>45712</v>
      </c>
      <c r="C195" s="176">
        <v>45712.458573553238</v>
      </c>
      <c r="D195" s="177" t="s">
        <v>267</v>
      </c>
      <c r="E195" s="178" t="s">
        <v>268</v>
      </c>
      <c r="F195" s="179" t="s">
        <v>269</v>
      </c>
      <c r="G195" s="180">
        <v>70.8</v>
      </c>
      <c r="H195" s="181">
        <v>50</v>
      </c>
      <c r="I195" s="181">
        <v>120</v>
      </c>
      <c r="J195" s="181">
        <v>71.36</v>
      </c>
      <c r="K195" s="182">
        <v>70.709999999999994</v>
      </c>
      <c r="L195" s="183">
        <v>3245500</v>
      </c>
      <c r="M195" s="184">
        <v>4785500</v>
      </c>
      <c r="N195" s="184">
        <v>90</v>
      </c>
      <c r="O195" s="184">
        <v>39</v>
      </c>
      <c r="P195" s="181">
        <v>3.6</v>
      </c>
      <c r="Q195" s="184">
        <v>53172</v>
      </c>
      <c r="R195" s="184">
        <v>191420</v>
      </c>
      <c r="S195" s="184">
        <v>223524</v>
      </c>
      <c r="T195" s="184">
        <v>141109</v>
      </c>
      <c r="U195" s="184">
        <v>198122</v>
      </c>
      <c r="V195" s="182">
        <v>1.47</v>
      </c>
      <c r="W195" s="183">
        <v>25</v>
      </c>
      <c r="X195" s="185">
        <v>23</v>
      </c>
      <c r="Y195" s="183">
        <v>229781400</v>
      </c>
      <c r="Z195" s="179" t="s">
        <v>270</v>
      </c>
      <c r="AA195" s="183">
        <v>2053200</v>
      </c>
      <c r="AB195" s="184">
        <v>3540000</v>
      </c>
      <c r="AC195" s="184">
        <v>5628600</v>
      </c>
      <c r="AD195" s="184">
        <v>743400</v>
      </c>
      <c r="AE195" s="184">
        <v>3823200</v>
      </c>
      <c r="AF195" s="177" t="s">
        <v>200</v>
      </c>
      <c r="AG195" s="184">
        <v>1982400</v>
      </c>
      <c r="AH195" s="184">
        <v>1734600</v>
      </c>
      <c r="AI195" s="184">
        <v>7717200</v>
      </c>
      <c r="AJ195" s="184">
        <v>17593800</v>
      </c>
      <c r="AK195" s="184">
        <v>2761200</v>
      </c>
      <c r="AL195" s="184">
        <v>10443000</v>
      </c>
      <c r="AM195" s="184">
        <v>778800</v>
      </c>
      <c r="AN195" s="184">
        <v>2973600</v>
      </c>
      <c r="AO195" s="184">
        <v>849600</v>
      </c>
      <c r="AP195" s="184">
        <v>17664600</v>
      </c>
      <c r="AQ195" s="184">
        <v>35400</v>
      </c>
      <c r="AR195" s="184">
        <v>17593800</v>
      </c>
      <c r="AS195" s="184">
        <v>25912800</v>
      </c>
      <c r="AT195" s="184">
        <v>0</v>
      </c>
      <c r="AU195" s="184">
        <v>566400</v>
      </c>
      <c r="AV195" s="184">
        <v>0</v>
      </c>
      <c r="AW195" s="184">
        <v>424800</v>
      </c>
      <c r="AX195" s="184">
        <v>44037600</v>
      </c>
      <c r="AY195" s="184">
        <v>354000</v>
      </c>
      <c r="AZ195" s="184">
        <v>17275200</v>
      </c>
      <c r="BA195" s="184">
        <v>6230400</v>
      </c>
      <c r="BB195" s="184">
        <v>1345200</v>
      </c>
      <c r="BC195" s="177" t="s">
        <v>200</v>
      </c>
      <c r="BD195" s="184">
        <v>3681600</v>
      </c>
      <c r="BE195" s="184">
        <v>3150600</v>
      </c>
      <c r="BF195" s="184">
        <v>1239000</v>
      </c>
      <c r="BG195" s="184">
        <v>24921600</v>
      </c>
      <c r="BH195" s="184">
        <v>885000</v>
      </c>
      <c r="BI195" s="184">
        <v>1840800</v>
      </c>
      <c r="BJ195" s="187" t="s">
        <v>200</v>
      </c>
    </row>
    <row r="196" spans="2:62" x14ac:dyDescent="0.2">
      <c r="B196" s="175">
        <v>45709</v>
      </c>
      <c r="C196" s="176">
        <v>45709.458895069445</v>
      </c>
      <c r="D196" s="177" t="s">
        <v>271</v>
      </c>
      <c r="E196" s="178" t="s">
        <v>268</v>
      </c>
      <c r="F196" s="179" t="s">
        <v>269</v>
      </c>
      <c r="G196" s="180">
        <v>73.010000000000005</v>
      </c>
      <c r="H196" s="181">
        <v>69.650000000000006</v>
      </c>
      <c r="I196" s="181">
        <v>120</v>
      </c>
      <c r="J196" s="181">
        <v>73.209999999999994</v>
      </c>
      <c r="K196" s="182">
        <v>72.599999999999994</v>
      </c>
      <c r="L196" s="183">
        <v>1607000</v>
      </c>
      <c r="M196" s="184">
        <v>3402000</v>
      </c>
      <c r="N196" s="184">
        <v>81</v>
      </c>
      <c r="O196" s="184">
        <v>18</v>
      </c>
      <c r="P196" s="181">
        <v>3.52</v>
      </c>
      <c r="Q196" s="184">
        <v>42000</v>
      </c>
      <c r="R196" s="184">
        <v>147913</v>
      </c>
      <c r="S196" s="184">
        <v>144521</v>
      </c>
      <c r="T196" s="184">
        <v>107133</v>
      </c>
      <c r="U196" s="184">
        <v>123564</v>
      </c>
      <c r="V196" s="182">
        <v>2.12</v>
      </c>
      <c r="W196" s="183">
        <v>23</v>
      </c>
      <c r="X196" s="185">
        <v>15</v>
      </c>
      <c r="Y196" s="183">
        <v>117327070</v>
      </c>
      <c r="Z196" s="179" t="s">
        <v>272</v>
      </c>
      <c r="AA196" s="186" t="s">
        <v>200</v>
      </c>
      <c r="AB196" s="177" t="s">
        <v>200</v>
      </c>
      <c r="AC196" s="177" t="s">
        <v>200</v>
      </c>
      <c r="AD196" s="177" t="s">
        <v>200</v>
      </c>
      <c r="AE196" s="177" t="s">
        <v>200</v>
      </c>
      <c r="AF196" s="184">
        <v>117327070</v>
      </c>
      <c r="AG196" s="177" t="s">
        <v>200</v>
      </c>
      <c r="AH196" s="177" t="s">
        <v>200</v>
      </c>
      <c r="AI196" s="177" t="s">
        <v>200</v>
      </c>
      <c r="AJ196" s="177" t="s">
        <v>200</v>
      </c>
      <c r="AK196" s="177" t="s">
        <v>200</v>
      </c>
      <c r="AL196" s="177" t="s">
        <v>200</v>
      </c>
      <c r="AM196" s="177" t="s">
        <v>200</v>
      </c>
      <c r="AN196" s="177" t="s">
        <v>200</v>
      </c>
      <c r="AO196" s="177" t="s">
        <v>200</v>
      </c>
      <c r="AP196" s="177" t="s">
        <v>200</v>
      </c>
      <c r="AQ196" s="177" t="s">
        <v>200</v>
      </c>
      <c r="AR196" s="177" t="s">
        <v>200</v>
      </c>
      <c r="AS196" s="177" t="s">
        <v>200</v>
      </c>
      <c r="AT196" s="177" t="s">
        <v>200</v>
      </c>
      <c r="AU196" s="177" t="s">
        <v>200</v>
      </c>
      <c r="AV196" s="177" t="s">
        <v>200</v>
      </c>
      <c r="AW196" s="177" t="s">
        <v>200</v>
      </c>
      <c r="AX196" s="177" t="s">
        <v>200</v>
      </c>
      <c r="AY196" s="177" t="s">
        <v>200</v>
      </c>
      <c r="AZ196" s="177" t="s">
        <v>200</v>
      </c>
      <c r="BA196" s="177" t="s">
        <v>200</v>
      </c>
      <c r="BB196" s="177" t="s">
        <v>200</v>
      </c>
      <c r="BC196" s="177" t="s">
        <v>200</v>
      </c>
      <c r="BD196" s="177" t="s">
        <v>200</v>
      </c>
      <c r="BE196" s="177" t="s">
        <v>200</v>
      </c>
      <c r="BF196" s="177" t="s">
        <v>200</v>
      </c>
      <c r="BG196" s="177" t="s">
        <v>200</v>
      </c>
      <c r="BH196" s="177" t="s">
        <v>200</v>
      </c>
      <c r="BI196" s="177" t="s">
        <v>200</v>
      </c>
      <c r="BJ196" s="187" t="s">
        <v>200</v>
      </c>
    </row>
    <row r="197" spans="2:62" x14ac:dyDescent="0.2">
      <c r="B197" s="175">
        <v>45708</v>
      </c>
      <c r="C197" s="176">
        <v>45708.458580057872</v>
      </c>
      <c r="D197" s="177" t="s">
        <v>267</v>
      </c>
      <c r="E197" s="178" t="s">
        <v>268</v>
      </c>
      <c r="F197" s="179" t="s">
        <v>269</v>
      </c>
      <c r="G197" s="180">
        <v>71.209999999999994</v>
      </c>
      <c r="H197" s="181">
        <v>60</v>
      </c>
      <c r="I197" s="181">
        <v>120</v>
      </c>
      <c r="J197" s="181">
        <v>72.099999999999994</v>
      </c>
      <c r="K197" s="182">
        <v>71.03</v>
      </c>
      <c r="L197" s="183">
        <v>3245500</v>
      </c>
      <c r="M197" s="184">
        <v>5313000</v>
      </c>
      <c r="N197" s="184">
        <v>104</v>
      </c>
      <c r="O197" s="184">
        <v>36</v>
      </c>
      <c r="P197" s="181">
        <v>4</v>
      </c>
      <c r="Q197" s="184">
        <v>51087</v>
      </c>
      <c r="R197" s="184">
        <v>204346</v>
      </c>
      <c r="S197" s="184">
        <v>240625</v>
      </c>
      <c r="T197" s="184">
        <v>162275</v>
      </c>
      <c r="U197" s="184">
        <v>214993</v>
      </c>
      <c r="V197" s="182">
        <v>1.64</v>
      </c>
      <c r="W197" s="183">
        <v>26</v>
      </c>
      <c r="X197" s="185">
        <v>20</v>
      </c>
      <c r="Y197" s="183">
        <v>231112055</v>
      </c>
      <c r="Z197" s="179" t="s">
        <v>270</v>
      </c>
      <c r="AA197" s="183">
        <v>2065090</v>
      </c>
      <c r="AB197" s="184">
        <v>3560500</v>
      </c>
      <c r="AC197" s="184">
        <v>5661195</v>
      </c>
      <c r="AD197" s="184">
        <v>747705</v>
      </c>
      <c r="AE197" s="184">
        <v>3845340</v>
      </c>
      <c r="AF197" s="177" t="s">
        <v>200</v>
      </c>
      <c r="AG197" s="184">
        <v>1993880</v>
      </c>
      <c r="AH197" s="184">
        <v>1744645</v>
      </c>
      <c r="AI197" s="184">
        <v>7761890</v>
      </c>
      <c r="AJ197" s="184">
        <v>17695685</v>
      </c>
      <c r="AK197" s="184">
        <v>2777190</v>
      </c>
      <c r="AL197" s="184">
        <v>10503475</v>
      </c>
      <c r="AM197" s="184">
        <v>783310</v>
      </c>
      <c r="AN197" s="184">
        <v>2990820</v>
      </c>
      <c r="AO197" s="184">
        <v>854520</v>
      </c>
      <c r="AP197" s="184">
        <v>17766895</v>
      </c>
      <c r="AQ197" s="184">
        <v>35605</v>
      </c>
      <c r="AR197" s="184">
        <v>17695685</v>
      </c>
      <c r="AS197" s="184">
        <v>26062860</v>
      </c>
      <c r="AT197" s="184">
        <v>0</v>
      </c>
      <c r="AU197" s="184">
        <v>569680</v>
      </c>
      <c r="AV197" s="184">
        <v>0</v>
      </c>
      <c r="AW197" s="184">
        <v>427260</v>
      </c>
      <c r="AX197" s="184">
        <v>44292620</v>
      </c>
      <c r="AY197" s="184">
        <v>356050</v>
      </c>
      <c r="AZ197" s="184">
        <v>17375240</v>
      </c>
      <c r="BA197" s="184">
        <v>6266480</v>
      </c>
      <c r="BB197" s="184">
        <v>1352990</v>
      </c>
      <c r="BC197" s="177" t="s">
        <v>200</v>
      </c>
      <c r="BD197" s="184">
        <v>3702920</v>
      </c>
      <c r="BE197" s="184">
        <v>3168845</v>
      </c>
      <c r="BF197" s="184">
        <v>1246175</v>
      </c>
      <c r="BG197" s="184">
        <v>25065920</v>
      </c>
      <c r="BH197" s="184">
        <v>890125</v>
      </c>
      <c r="BI197" s="184">
        <v>1851460</v>
      </c>
      <c r="BJ197" s="187" t="s">
        <v>200</v>
      </c>
    </row>
    <row r="198" spans="2:62" x14ac:dyDescent="0.2">
      <c r="B198" s="175">
        <v>45707</v>
      </c>
      <c r="C198" s="176">
        <v>45707.458805057868</v>
      </c>
      <c r="D198" s="177" t="s">
        <v>273</v>
      </c>
      <c r="E198" s="178" t="s">
        <v>268</v>
      </c>
      <c r="F198" s="179" t="s">
        <v>269</v>
      </c>
      <c r="G198" s="180">
        <v>72.900000000000006</v>
      </c>
      <c r="H198" s="181">
        <v>69.5</v>
      </c>
      <c r="I198" s="181">
        <v>120</v>
      </c>
      <c r="J198" s="181">
        <v>73.44</v>
      </c>
      <c r="K198" s="182">
        <v>72.5</v>
      </c>
      <c r="L198" s="183">
        <v>2072500</v>
      </c>
      <c r="M198" s="184">
        <v>4127000</v>
      </c>
      <c r="N198" s="184">
        <v>109</v>
      </c>
      <c r="O198" s="184">
        <v>22</v>
      </c>
      <c r="P198" s="181">
        <v>3.89</v>
      </c>
      <c r="Q198" s="184">
        <v>37862</v>
      </c>
      <c r="R198" s="184">
        <v>147393</v>
      </c>
      <c r="S198" s="184">
        <v>151862</v>
      </c>
      <c r="T198" s="184">
        <v>121912</v>
      </c>
      <c r="U198" s="184">
        <v>132452</v>
      </c>
      <c r="V198" s="182">
        <v>1.99</v>
      </c>
      <c r="W198" s="183">
        <v>28</v>
      </c>
      <c r="X198" s="185">
        <v>17</v>
      </c>
      <c r="Y198" s="183">
        <v>151085250</v>
      </c>
      <c r="Z198" s="179" t="s">
        <v>274</v>
      </c>
      <c r="AA198" s="186" t="s">
        <v>200</v>
      </c>
      <c r="AB198" s="177" t="s">
        <v>200</v>
      </c>
      <c r="AC198" s="177" t="s">
        <v>200</v>
      </c>
      <c r="AD198" s="177" t="s">
        <v>200</v>
      </c>
      <c r="AE198" s="177" t="s">
        <v>200</v>
      </c>
      <c r="AF198" s="177" t="s">
        <v>200</v>
      </c>
      <c r="AG198" s="177" t="s">
        <v>200</v>
      </c>
      <c r="AH198" s="177" t="s">
        <v>200</v>
      </c>
      <c r="AI198" s="177" t="s">
        <v>200</v>
      </c>
      <c r="AJ198" s="177" t="s">
        <v>200</v>
      </c>
      <c r="AK198" s="177" t="s">
        <v>200</v>
      </c>
      <c r="AL198" s="177" t="s">
        <v>200</v>
      </c>
      <c r="AM198" s="177" t="s">
        <v>200</v>
      </c>
      <c r="AN198" s="177" t="s">
        <v>200</v>
      </c>
      <c r="AO198" s="177" t="s">
        <v>200</v>
      </c>
      <c r="AP198" s="177" t="s">
        <v>200</v>
      </c>
      <c r="AQ198" s="177" t="s">
        <v>200</v>
      </c>
      <c r="AR198" s="177" t="s">
        <v>200</v>
      </c>
      <c r="AS198" s="177" t="s">
        <v>200</v>
      </c>
      <c r="AT198" s="177" t="s">
        <v>200</v>
      </c>
      <c r="AU198" s="177" t="s">
        <v>200</v>
      </c>
      <c r="AV198" s="177" t="s">
        <v>200</v>
      </c>
      <c r="AW198" s="177" t="s">
        <v>200</v>
      </c>
      <c r="AX198" s="177" t="s">
        <v>200</v>
      </c>
      <c r="AY198" s="177" t="s">
        <v>200</v>
      </c>
      <c r="AZ198" s="177" t="s">
        <v>200</v>
      </c>
      <c r="BA198" s="177" t="s">
        <v>200</v>
      </c>
      <c r="BB198" s="177" t="s">
        <v>200</v>
      </c>
      <c r="BC198" s="184">
        <v>151085250</v>
      </c>
      <c r="BD198" s="177" t="s">
        <v>200</v>
      </c>
      <c r="BE198" s="177" t="s">
        <v>200</v>
      </c>
      <c r="BF198" s="177" t="s">
        <v>200</v>
      </c>
      <c r="BG198" s="177" t="s">
        <v>200</v>
      </c>
      <c r="BH198" s="177" t="s">
        <v>200</v>
      </c>
      <c r="BI198" s="177" t="s">
        <v>200</v>
      </c>
      <c r="BJ198" s="187" t="s">
        <v>200</v>
      </c>
    </row>
    <row r="199" spans="2:62" x14ac:dyDescent="0.2">
      <c r="B199" s="175">
        <v>45706</v>
      </c>
      <c r="C199" s="176">
        <v>45706.458603472223</v>
      </c>
      <c r="D199" s="177" t="s">
        <v>267</v>
      </c>
      <c r="E199" s="178" t="s">
        <v>268</v>
      </c>
      <c r="F199" s="179" t="s">
        <v>269</v>
      </c>
      <c r="G199" s="180">
        <v>74.53</v>
      </c>
      <c r="H199" s="181">
        <v>69.5</v>
      </c>
      <c r="I199" s="181">
        <v>120</v>
      </c>
      <c r="J199" s="181">
        <v>75.209999999999994</v>
      </c>
      <c r="K199" s="182">
        <v>74.53</v>
      </c>
      <c r="L199" s="183">
        <v>3245500</v>
      </c>
      <c r="M199" s="184">
        <v>4768000</v>
      </c>
      <c r="N199" s="184">
        <v>105</v>
      </c>
      <c r="O199" s="184">
        <v>53</v>
      </c>
      <c r="P199" s="181">
        <v>4.04</v>
      </c>
      <c r="Q199" s="184">
        <v>45410</v>
      </c>
      <c r="R199" s="184">
        <v>183385</v>
      </c>
      <c r="S199" s="184">
        <v>173931</v>
      </c>
      <c r="T199" s="184">
        <v>135229</v>
      </c>
      <c r="U199" s="184">
        <v>155103</v>
      </c>
      <c r="V199" s="182">
        <v>1.47</v>
      </c>
      <c r="W199" s="183">
        <v>26</v>
      </c>
      <c r="X199" s="185">
        <v>24</v>
      </c>
      <c r="Y199" s="183">
        <v>241887115</v>
      </c>
      <c r="Z199" s="179" t="s">
        <v>270</v>
      </c>
      <c r="AA199" s="183">
        <v>2161370</v>
      </c>
      <c r="AB199" s="184">
        <v>3726500</v>
      </c>
      <c r="AC199" s="184">
        <v>5925135</v>
      </c>
      <c r="AD199" s="184">
        <v>782565</v>
      </c>
      <c r="AE199" s="184">
        <v>4024620</v>
      </c>
      <c r="AF199" s="177" t="s">
        <v>200</v>
      </c>
      <c r="AG199" s="184">
        <v>2086840</v>
      </c>
      <c r="AH199" s="184">
        <v>1825985</v>
      </c>
      <c r="AI199" s="184">
        <v>8123770</v>
      </c>
      <c r="AJ199" s="184">
        <v>18520705</v>
      </c>
      <c r="AK199" s="184">
        <v>2906670</v>
      </c>
      <c r="AL199" s="184">
        <v>10993175</v>
      </c>
      <c r="AM199" s="184">
        <v>819830</v>
      </c>
      <c r="AN199" s="184">
        <v>3130260</v>
      </c>
      <c r="AO199" s="184">
        <v>894360</v>
      </c>
      <c r="AP199" s="184">
        <v>18595235</v>
      </c>
      <c r="AQ199" s="184">
        <v>37265</v>
      </c>
      <c r="AR199" s="184">
        <v>18520705</v>
      </c>
      <c r="AS199" s="184">
        <v>27277980</v>
      </c>
      <c r="AT199" s="184">
        <v>0</v>
      </c>
      <c r="AU199" s="184">
        <v>596240</v>
      </c>
      <c r="AV199" s="184">
        <v>0</v>
      </c>
      <c r="AW199" s="184">
        <v>447180</v>
      </c>
      <c r="AX199" s="184">
        <v>46357660</v>
      </c>
      <c r="AY199" s="184">
        <v>372650</v>
      </c>
      <c r="AZ199" s="184">
        <v>18185320</v>
      </c>
      <c r="BA199" s="184">
        <v>6558640</v>
      </c>
      <c r="BB199" s="184">
        <v>1416070</v>
      </c>
      <c r="BC199" s="177" t="s">
        <v>200</v>
      </c>
      <c r="BD199" s="184">
        <v>3875560</v>
      </c>
      <c r="BE199" s="184">
        <v>3316585</v>
      </c>
      <c r="BF199" s="184">
        <v>1304275</v>
      </c>
      <c r="BG199" s="184">
        <v>26234560</v>
      </c>
      <c r="BH199" s="184">
        <v>931625</v>
      </c>
      <c r="BI199" s="184">
        <v>1937780</v>
      </c>
      <c r="BJ199" s="187" t="s">
        <v>200</v>
      </c>
    </row>
    <row r="200" spans="2:62" x14ac:dyDescent="0.2">
      <c r="B200" s="175">
        <v>45705</v>
      </c>
      <c r="C200" s="176">
        <v>45705.458685300924</v>
      </c>
      <c r="D200" s="177" t="s">
        <v>267</v>
      </c>
      <c r="E200" s="178" t="s">
        <v>268</v>
      </c>
      <c r="F200" s="179" t="s">
        <v>269</v>
      </c>
      <c r="G200" s="180">
        <v>77.02</v>
      </c>
      <c r="H200" s="181">
        <v>69.8</v>
      </c>
      <c r="I200" s="181">
        <v>120</v>
      </c>
      <c r="J200" s="181">
        <v>77.47</v>
      </c>
      <c r="K200" s="182">
        <v>76.92</v>
      </c>
      <c r="L200" s="183">
        <v>3245500</v>
      </c>
      <c r="M200" s="184">
        <v>4974000</v>
      </c>
      <c r="N200" s="184">
        <v>111</v>
      </c>
      <c r="O200" s="184">
        <v>42</v>
      </c>
      <c r="P200" s="181">
        <v>3.96</v>
      </c>
      <c r="Q200" s="184">
        <v>44811</v>
      </c>
      <c r="R200" s="184">
        <v>177643</v>
      </c>
      <c r="S200" s="184">
        <v>213094</v>
      </c>
      <c r="T200" s="184">
        <v>147523</v>
      </c>
      <c r="U200" s="184">
        <v>201934</v>
      </c>
      <c r="V200" s="182">
        <v>1.53</v>
      </c>
      <c r="W200" s="183">
        <v>28</v>
      </c>
      <c r="X200" s="185">
        <v>22</v>
      </c>
      <c r="Y200" s="183">
        <v>249968410</v>
      </c>
      <c r="Z200" s="179" t="s">
        <v>270</v>
      </c>
      <c r="AA200" s="183">
        <v>2233580</v>
      </c>
      <c r="AB200" s="184">
        <v>3851000</v>
      </c>
      <c r="AC200" s="184">
        <v>6123090</v>
      </c>
      <c r="AD200" s="184">
        <v>808710</v>
      </c>
      <c r="AE200" s="184">
        <v>4159080</v>
      </c>
      <c r="AF200" s="177" t="s">
        <v>200</v>
      </c>
      <c r="AG200" s="184">
        <v>2156560</v>
      </c>
      <c r="AH200" s="184">
        <v>1886990</v>
      </c>
      <c r="AI200" s="184">
        <v>8395180</v>
      </c>
      <c r="AJ200" s="184">
        <v>19139470</v>
      </c>
      <c r="AK200" s="184">
        <v>3003780</v>
      </c>
      <c r="AL200" s="184">
        <v>11360450</v>
      </c>
      <c r="AM200" s="184">
        <v>847220</v>
      </c>
      <c r="AN200" s="184">
        <v>3234840</v>
      </c>
      <c r="AO200" s="184">
        <v>924240</v>
      </c>
      <c r="AP200" s="184">
        <v>19216490</v>
      </c>
      <c r="AQ200" s="184">
        <v>38510</v>
      </c>
      <c r="AR200" s="184">
        <v>19139470</v>
      </c>
      <c r="AS200" s="184">
        <v>28189320</v>
      </c>
      <c r="AT200" s="184">
        <v>0</v>
      </c>
      <c r="AU200" s="184">
        <v>616160</v>
      </c>
      <c r="AV200" s="184">
        <v>0</v>
      </c>
      <c r="AW200" s="184">
        <v>462120</v>
      </c>
      <c r="AX200" s="184">
        <v>47906440</v>
      </c>
      <c r="AY200" s="184">
        <v>385100</v>
      </c>
      <c r="AZ200" s="184">
        <v>18792880</v>
      </c>
      <c r="BA200" s="184">
        <v>6777760</v>
      </c>
      <c r="BB200" s="184">
        <v>1463380</v>
      </c>
      <c r="BC200" s="177" t="s">
        <v>200</v>
      </c>
      <c r="BD200" s="184">
        <v>4005040</v>
      </c>
      <c r="BE200" s="184">
        <v>3427390</v>
      </c>
      <c r="BF200" s="184">
        <v>1347850</v>
      </c>
      <c r="BG200" s="184">
        <v>27111040</v>
      </c>
      <c r="BH200" s="184">
        <v>962750</v>
      </c>
      <c r="BI200" s="184">
        <v>2002520</v>
      </c>
      <c r="BJ200" s="187" t="s">
        <v>200</v>
      </c>
    </row>
    <row r="201" spans="2:62" x14ac:dyDescent="0.2">
      <c r="B201" s="175">
        <v>45702</v>
      </c>
      <c r="C201" s="176">
        <v>45702.458664432874</v>
      </c>
      <c r="D201" s="177" t="s">
        <v>271</v>
      </c>
      <c r="E201" s="178" t="s">
        <v>268</v>
      </c>
      <c r="F201" s="179" t="s">
        <v>269</v>
      </c>
      <c r="G201" s="180">
        <v>75.84</v>
      </c>
      <c r="H201" s="181">
        <v>69</v>
      </c>
      <c r="I201" s="181">
        <v>120</v>
      </c>
      <c r="J201" s="181">
        <v>76.11</v>
      </c>
      <c r="K201" s="182">
        <v>75.48</v>
      </c>
      <c r="L201" s="183">
        <v>1607000</v>
      </c>
      <c r="M201" s="184">
        <v>3689000</v>
      </c>
      <c r="N201" s="184">
        <v>89</v>
      </c>
      <c r="O201" s="184">
        <v>21</v>
      </c>
      <c r="P201" s="181">
        <v>3.87</v>
      </c>
      <c r="Q201" s="184">
        <v>41449</v>
      </c>
      <c r="R201" s="184">
        <v>160391</v>
      </c>
      <c r="S201" s="184">
        <v>143338</v>
      </c>
      <c r="T201" s="184">
        <v>107133</v>
      </c>
      <c r="U201" s="184">
        <v>109817</v>
      </c>
      <c r="V201" s="182">
        <v>2.2999999999999998</v>
      </c>
      <c r="W201" s="183">
        <v>23</v>
      </c>
      <c r="X201" s="185">
        <v>15</v>
      </c>
      <c r="Y201" s="183">
        <v>121874880</v>
      </c>
      <c r="Z201" s="179" t="s">
        <v>272</v>
      </c>
      <c r="AA201" s="186" t="s">
        <v>200</v>
      </c>
      <c r="AB201" s="177" t="s">
        <v>200</v>
      </c>
      <c r="AC201" s="177" t="s">
        <v>200</v>
      </c>
      <c r="AD201" s="177" t="s">
        <v>200</v>
      </c>
      <c r="AE201" s="177" t="s">
        <v>200</v>
      </c>
      <c r="AF201" s="184">
        <v>121874880</v>
      </c>
      <c r="AG201" s="177" t="s">
        <v>200</v>
      </c>
      <c r="AH201" s="177" t="s">
        <v>200</v>
      </c>
      <c r="AI201" s="177" t="s">
        <v>200</v>
      </c>
      <c r="AJ201" s="177" t="s">
        <v>200</v>
      </c>
      <c r="AK201" s="177" t="s">
        <v>200</v>
      </c>
      <c r="AL201" s="177" t="s">
        <v>200</v>
      </c>
      <c r="AM201" s="177" t="s">
        <v>200</v>
      </c>
      <c r="AN201" s="177" t="s">
        <v>200</v>
      </c>
      <c r="AO201" s="177" t="s">
        <v>200</v>
      </c>
      <c r="AP201" s="177" t="s">
        <v>200</v>
      </c>
      <c r="AQ201" s="177" t="s">
        <v>200</v>
      </c>
      <c r="AR201" s="177" t="s">
        <v>200</v>
      </c>
      <c r="AS201" s="177" t="s">
        <v>200</v>
      </c>
      <c r="AT201" s="177" t="s">
        <v>200</v>
      </c>
      <c r="AU201" s="177" t="s">
        <v>200</v>
      </c>
      <c r="AV201" s="177" t="s">
        <v>200</v>
      </c>
      <c r="AW201" s="177" t="s">
        <v>200</v>
      </c>
      <c r="AX201" s="177" t="s">
        <v>200</v>
      </c>
      <c r="AY201" s="177" t="s">
        <v>200</v>
      </c>
      <c r="AZ201" s="177" t="s">
        <v>200</v>
      </c>
      <c r="BA201" s="177" t="s">
        <v>200</v>
      </c>
      <c r="BB201" s="177" t="s">
        <v>200</v>
      </c>
      <c r="BC201" s="177" t="s">
        <v>200</v>
      </c>
      <c r="BD201" s="177" t="s">
        <v>200</v>
      </c>
      <c r="BE201" s="177" t="s">
        <v>200</v>
      </c>
      <c r="BF201" s="177" t="s">
        <v>200</v>
      </c>
      <c r="BG201" s="177" t="s">
        <v>200</v>
      </c>
      <c r="BH201" s="177" t="s">
        <v>200</v>
      </c>
      <c r="BI201" s="177" t="s">
        <v>200</v>
      </c>
      <c r="BJ201" s="187" t="s">
        <v>200</v>
      </c>
    </row>
    <row r="202" spans="2:62" x14ac:dyDescent="0.2">
      <c r="B202" s="175">
        <v>45701</v>
      </c>
      <c r="C202" s="176">
        <v>45701.458677627314</v>
      </c>
      <c r="D202" s="177" t="s">
        <v>267</v>
      </c>
      <c r="E202" s="178" t="s">
        <v>268</v>
      </c>
      <c r="F202" s="179" t="s">
        <v>269</v>
      </c>
      <c r="G202" s="180">
        <v>76.77</v>
      </c>
      <c r="H202" s="181">
        <v>69</v>
      </c>
      <c r="I202" s="181">
        <v>120</v>
      </c>
      <c r="J202" s="181">
        <v>77.209999999999994</v>
      </c>
      <c r="K202" s="182">
        <v>76.760000000000005</v>
      </c>
      <c r="L202" s="183">
        <v>3245500</v>
      </c>
      <c r="M202" s="184">
        <v>4723500</v>
      </c>
      <c r="N202" s="184">
        <v>93</v>
      </c>
      <c r="O202" s="184">
        <v>43</v>
      </c>
      <c r="P202" s="181">
        <v>3.72</v>
      </c>
      <c r="Q202" s="184">
        <v>50790</v>
      </c>
      <c r="R202" s="184">
        <v>188940</v>
      </c>
      <c r="S202" s="184">
        <v>246151</v>
      </c>
      <c r="T202" s="184">
        <v>162275</v>
      </c>
      <c r="U202" s="184">
        <v>236006</v>
      </c>
      <c r="V202" s="182">
        <v>1.46</v>
      </c>
      <c r="W202" s="183">
        <v>25</v>
      </c>
      <c r="X202" s="185">
        <v>20</v>
      </c>
      <c r="Y202" s="183">
        <v>249157035</v>
      </c>
      <c r="Z202" s="179" t="s">
        <v>270</v>
      </c>
      <c r="AA202" s="183">
        <v>2226330</v>
      </c>
      <c r="AB202" s="184">
        <v>3838500</v>
      </c>
      <c r="AC202" s="184">
        <v>6103215</v>
      </c>
      <c r="AD202" s="184">
        <v>806085</v>
      </c>
      <c r="AE202" s="184">
        <v>4145580</v>
      </c>
      <c r="AF202" s="177" t="s">
        <v>200</v>
      </c>
      <c r="AG202" s="184">
        <v>2149560</v>
      </c>
      <c r="AH202" s="184">
        <v>1880865</v>
      </c>
      <c r="AI202" s="184">
        <v>8367930</v>
      </c>
      <c r="AJ202" s="184">
        <v>19077345</v>
      </c>
      <c r="AK202" s="184">
        <v>2994030</v>
      </c>
      <c r="AL202" s="184">
        <v>11323575</v>
      </c>
      <c r="AM202" s="184">
        <v>844470</v>
      </c>
      <c r="AN202" s="184">
        <v>3224340</v>
      </c>
      <c r="AO202" s="184">
        <v>921240</v>
      </c>
      <c r="AP202" s="184">
        <v>19154115</v>
      </c>
      <c r="AQ202" s="184">
        <v>38385</v>
      </c>
      <c r="AR202" s="184">
        <v>19077345</v>
      </c>
      <c r="AS202" s="184">
        <v>28097820</v>
      </c>
      <c r="AT202" s="184">
        <v>0</v>
      </c>
      <c r="AU202" s="184">
        <v>614160</v>
      </c>
      <c r="AV202" s="184">
        <v>0</v>
      </c>
      <c r="AW202" s="184">
        <v>460620</v>
      </c>
      <c r="AX202" s="184">
        <v>47750940</v>
      </c>
      <c r="AY202" s="184">
        <v>383850</v>
      </c>
      <c r="AZ202" s="184">
        <v>18731880</v>
      </c>
      <c r="BA202" s="184">
        <v>6755760</v>
      </c>
      <c r="BB202" s="184">
        <v>1458630</v>
      </c>
      <c r="BC202" s="177" t="s">
        <v>200</v>
      </c>
      <c r="BD202" s="184">
        <v>3992040</v>
      </c>
      <c r="BE202" s="184">
        <v>3416265</v>
      </c>
      <c r="BF202" s="184">
        <v>1343475</v>
      </c>
      <c r="BG202" s="184">
        <v>27023040</v>
      </c>
      <c r="BH202" s="184">
        <v>959625</v>
      </c>
      <c r="BI202" s="184">
        <v>1996020</v>
      </c>
      <c r="BJ202" s="187" t="s">
        <v>200</v>
      </c>
    </row>
    <row r="203" spans="2:62" x14ac:dyDescent="0.2">
      <c r="B203" s="175">
        <v>45699</v>
      </c>
      <c r="C203" s="176">
        <v>45699.458621134261</v>
      </c>
      <c r="D203" s="177" t="s">
        <v>267</v>
      </c>
      <c r="E203" s="178" t="s">
        <v>268</v>
      </c>
      <c r="F203" s="179" t="s">
        <v>269</v>
      </c>
      <c r="G203" s="180">
        <v>80.08</v>
      </c>
      <c r="H203" s="181">
        <v>69</v>
      </c>
      <c r="I203" s="181">
        <v>120</v>
      </c>
      <c r="J203" s="181">
        <v>80.5</v>
      </c>
      <c r="K203" s="182">
        <v>80.08</v>
      </c>
      <c r="L203" s="183">
        <v>3245500</v>
      </c>
      <c r="M203" s="184">
        <v>4828000</v>
      </c>
      <c r="N203" s="184">
        <v>98</v>
      </c>
      <c r="O203" s="184">
        <v>49</v>
      </c>
      <c r="P203" s="181">
        <v>4.08</v>
      </c>
      <c r="Q203" s="184">
        <v>49265</v>
      </c>
      <c r="R203" s="184">
        <v>201167</v>
      </c>
      <c r="S203" s="184">
        <v>210124</v>
      </c>
      <c r="T203" s="184">
        <v>154548</v>
      </c>
      <c r="U203" s="184">
        <v>197798</v>
      </c>
      <c r="V203" s="182">
        <v>1.49</v>
      </c>
      <c r="W203" s="183">
        <v>24</v>
      </c>
      <c r="X203" s="185">
        <v>21</v>
      </c>
      <c r="Y203" s="183">
        <v>259899640</v>
      </c>
      <c r="Z203" s="179" t="s">
        <v>270</v>
      </c>
      <c r="AA203" s="183">
        <v>2322320</v>
      </c>
      <c r="AB203" s="184">
        <v>4004000</v>
      </c>
      <c r="AC203" s="184">
        <v>6366360</v>
      </c>
      <c r="AD203" s="184">
        <v>840840</v>
      </c>
      <c r="AE203" s="184">
        <v>4324320</v>
      </c>
      <c r="AF203" s="177" t="s">
        <v>200</v>
      </c>
      <c r="AG203" s="184">
        <v>2242240</v>
      </c>
      <c r="AH203" s="184">
        <v>1961960</v>
      </c>
      <c r="AI203" s="184">
        <v>8728720</v>
      </c>
      <c r="AJ203" s="184">
        <v>19899880</v>
      </c>
      <c r="AK203" s="184">
        <v>3123120</v>
      </c>
      <c r="AL203" s="184">
        <v>11811800</v>
      </c>
      <c r="AM203" s="184">
        <v>880880</v>
      </c>
      <c r="AN203" s="184">
        <v>3363360</v>
      </c>
      <c r="AO203" s="184">
        <v>960960</v>
      </c>
      <c r="AP203" s="184">
        <v>19979960</v>
      </c>
      <c r="AQ203" s="184">
        <v>40040</v>
      </c>
      <c r="AR203" s="184">
        <v>19899880</v>
      </c>
      <c r="AS203" s="184">
        <v>29309280</v>
      </c>
      <c r="AT203" s="184">
        <v>0</v>
      </c>
      <c r="AU203" s="184">
        <v>640640</v>
      </c>
      <c r="AV203" s="184">
        <v>0</v>
      </c>
      <c r="AW203" s="184">
        <v>480480</v>
      </c>
      <c r="AX203" s="184">
        <v>49809760</v>
      </c>
      <c r="AY203" s="184">
        <v>400400</v>
      </c>
      <c r="AZ203" s="184">
        <v>19539520</v>
      </c>
      <c r="BA203" s="184">
        <v>7047040</v>
      </c>
      <c r="BB203" s="184">
        <v>1521520</v>
      </c>
      <c r="BC203" s="177" t="s">
        <v>200</v>
      </c>
      <c r="BD203" s="184">
        <v>4164160</v>
      </c>
      <c r="BE203" s="184">
        <v>3563560</v>
      </c>
      <c r="BF203" s="184">
        <v>1401400</v>
      </c>
      <c r="BG203" s="184">
        <v>28188160</v>
      </c>
      <c r="BH203" s="184">
        <v>1001000</v>
      </c>
      <c r="BI203" s="184">
        <v>2082080</v>
      </c>
      <c r="BJ203" s="187" t="s">
        <v>200</v>
      </c>
    </row>
    <row r="204" spans="2:62" x14ac:dyDescent="0.2">
      <c r="B204" s="175">
        <v>45698</v>
      </c>
      <c r="C204" s="176">
        <v>45698.458695266207</v>
      </c>
      <c r="D204" s="177" t="s">
        <v>267</v>
      </c>
      <c r="E204" s="178" t="s">
        <v>268</v>
      </c>
      <c r="F204" s="179" t="s">
        <v>269</v>
      </c>
      <c r="G204" s="180">
        <v>81.27</v>
      </c>
      <c r="H204" s="181">
        <v>69</v>
      </c>
      <c r="I204" s="181">
        <v>120</v>
      </c>
      <c r="J204" s="181">
        <v>81.58</v>
      </c>
      <c r="K204" s="182">
        <v>81.209999999999994</v>
      </c>
      <c r="L204" s="183">
        <v>3245500</v>
      </c>
      <c r="M204" s="184">
        <v>4917500</v>
      </c>
      <c r="N204" s="184">
        <v>98</v>
      </c>
      <c r="O204" s="184">
        <v>40</v>
      </c>
      <c r="P204" s="181">
        <v>4.26</v>
      </c>
      <c r="Q204" s="184">
        <v>50179</v>
      </c>
      <c r="R204" s="184">
        <v>213804</v>
      </c>
      <c r="S204" s="184">
        <v>207612</v>
      </c>
      <c r="T204" s="184">
        <v>170816</v>
      </c>
      <c r="U204" s="184">
        <v>180619</v>
      </c>
      <c r="V204" s="182">
        <v>1.52</v>
      </c>
      <c r="W204" s="183">
        <v>23</v>
      </c>
      <c r="X204" s="185">
        <v>19</v>
      </c>
      <c r="Y204" s="183">
        <v>263761785</v>
      </c>
      <c r="Z204" s="179" t="s">
        <v>270</v>
      </c>
      <c r="AA204" s="183">
        <v>2356830</v>
      </c>
      <c r="AB204" s="184">
        <v>4063500</v>
      </c>
      <c r="AC204" s="184">
        <v>6460965</v>
      </c>
      <c r="AD204" s="184">
        <v>853335</v>
      </c>
      <c r="AE204" s="184">
        <v>4388580</v>
      </c>
      <c r="AF204" s="177" t="s">
        <v>200</v>
      </c>
      <c r="AG204" s="184">
        <v>2275560</v>
      </c>
      <c r="AH204" s="184">
        <v>1991115</v>
      </c>
      <c r="AI204" s="184">
        <v>8858430</v>
      </c>
      <c r="AJ204" s="184">
        <v>20195595</v>
      </c>
      <c r="AK204" s="184">
        <v>3169530</v>
      </c>
      <c r="AL204" s="184">
        <v>11987325</v>
      </c>
      <c r="AM204" s="184">
        <v>893970</v>
      </c>
      <c r="AN204" s="184">
        <v>3413340</v>
      </c>
      <c r="AO204" s="184">
        <v>975240</v>
      </c>
      <c r="AP204" s="184">
        <v>20276865</v>
      </c>
      <c r="AQ204" s="184">
        <v>40635</v>
      </c>
      <c r="AR204" s="184">
        <v>20195595</v>
      </c>
      <c r="AS204" s="184">
        <v>29744820</v>
      </c>
      <c r="AT204" s="184">
        <v>0</v>
      </c>
      <c r="AU204" s="184">
        <v>650160</v>
      </c>
      <c r="AV204" s="184">
        <v>0</v>
      </c>
      <c r="AW204" s="184">
        <v>487620</v>
      </c>
      <c r="AX204" s="184">
        <v>50549940</v>
      </c>
      <c r="AY204" s="184">
        <v>406350</v>
      </c>
      <c r="AZ204" s="184">
        <v>19829880</v>
      </c>
      <c r="BA204" s="184">
        <v>7151760</v>
      </c>
      <c r="BB204" s="184">
        <v>1544130</v>
      </c>
      <c r="BC204" s="177" t="s">
        <v>200</v>
      </c>
      <c r="BD204" s="184">
        <v>4226040</v>
      </c>
      <c r="BE204" s="184">
        <v>3616515</v>
      </c>
      <c r="BF204" s="184">
        <v>1422225</v>
      </c>
      <c r="BG204" s="184">
        <v>28607040</v>
      </c>
      <c r="BH204" s="184">
        <v>1015875</v>
      </c>
      <c r="BI204" s="184">
        <v>2113020</v>
      </c>
      <c r="BJ204" s="187" t="s">
        <v>200</v>
      </c>
    </row>
    <row r="205" spans="2:62" x14ac:dyDescent="0.2">
      <c r="B205" s="175">
        <v>45695</v>
      </c>
      <c r="C205" s="176">
        <v>45695.45854003472</v>
      </c>
      <c r="D205" s="177" t="s">
        <v>271</v>
      </c>
      <c r="E205" s="178" t="s">
        <v>268</v>
      </c>
      <c r="F205" s="179" t="s">
        <v>269</v>
      </c>
      <c r="G205" s="180">
        <v>80.709999999999994</v>
      </c>
      <c r="H205" s="181">
        <v>69</v>
      </c>
      <c r="I205" s="181">
        <v>120</v>
      </c>
      <c r="J205" s="181">
        <v>80.56</v>
      </c>
      <c r="K205" s="182">
        <v>80.12</v>
      </c>
      <c r="L205" s="183">
        <v>1607000</v>
      </c>
      <c r="M205" s="184">
        <v>3609000</v>
      </c>
      <c r="N205" s="184">
        <v>94</v>
      </c>
      <c r="O205" s="184">
        <v>16</v>
      </c>
      <c r="P205" s="181">
        <v>3.92</v>
      </c>
      <c r="Q205" s="184">
        <v>38394</v>
      </c>
      <c r="R205" s="184">
        <v>150375</v>
      </c>
      <c r="S205" s="184">
        <v>149432</v>
      </c>
      <c r="T205" s="184">
        <v>133917</v>
      </c>
      <c r="U205" s="184">
        <v>132926</v>
      </c>
      <c r="V205" s="182">
        <v>2.25</v>
      </c>
      <c r="W205" s="183">
        <v>24</v>
      </c>
      <c r="X205" s="185">
        <v>12</v>
      </c>
      <c r="Y205" s="183">
        <v>129700970</v>
      </c>
      <c r="Z205" s="179" t="s">
        <v>272</v>
      </c>
      <c r="AA205" s="186" t="s">
        <v>200</v>
      </c>
      <c r="AB205" s="177" t="s">
        <v>200</v>
      </c>
      <c r="AC205" s="177" t="s">
        <v>200</v>
      </c>
      <c r="AD205" s="177" t="s">
        <v>200</v>
      </c>
      <c r="AE205" s="177" t="s">
        <v>200</v>
      </c>
      <c r="AF205" s="184">
        <v>129700970</v>
      </c>
      <c r="AG205" s="177" t="s">
        <v>200</v>
      </c>
      <c r="AH205" s="177" t="s">
        <v>200</v>
      </c>
      <c r="AI205" s="177" t="s">
        <v>200</v>
      </c>
      <c r="AJ205" s="177" t="s">
        <v>200</v>
      </c>
      <c r="AK205" s="177" t="s">
        <v>200</v>
      </c>
      <c r="AL205" s="177" t="s">
        <v>200</v>
      </c>
      <c r="AM205" s="177" t="s">
        <v>200</v>
      </c>
      <c r="AN205" s="177" t="s">
        <v>200</v>
      </c>
      <c r="AO205" s="177" t="s">
        <v>200</v>
      </c>
      <c r="AP205" s="177" t="s">
        <v>200</v>
      </c>
      <c r="AQ205" s="177" t="s">
        <v>200</v>
      </c>
      <c r="AR205" s="177" t="s">
        <v>200</v>
      </c>
      <c r="AS205" s="177" t="s">
        <v>200</v>
      </c>
      <c r="AT205" s="177" t="s">
        <v>200</v>
      </c>
      <c r="AU205" s="177" t="s">
        <v>200</v>
      </c>
      <c r="AV205" s="177" t="s">
        <v>200</v>
      </c>
      <c r="AW205" s="177" t="s">
        <v>200</v>
      </c>
      <c r="AX205" s="177" t="s">
        <v>200</v>
      </c>
      <c r="AY205" s="177" t="s">
        <v>200</v>
      </c>
      <c r="AZ205" s="177" t="s">
        <v>200</v>
      </c>
      <c r="BA205" s="177" t="s">
        <v>200</v>
      </c>
      <c r="BB205" s="177" t="s">
        <v>200</v>
      </c>
      <c r="BC205" s="177" t="s">
        <v>200</v>
      </c>
      <c r="BD205" s="177" t="s">
        <v>200</v>
      </c>
      <c r="BE205" s="177" t="s">
        <v>200</v>
      </c>
      <c r="BF205" s="177" t="s">
        <v>200</v>
      </c>
      <c r="BG205" s="177" t="s">
        <v>200</v>
      </c>
      <c r="BH205" s="177" t="s">
        <v>200</v>
      </c>
      <c r="BI205" s="177" t="s">
        <v>200</v>
      </c>
      <c r="BJ205" s="187" t="s">
        <v>200</v>
      </c>
    </row>
    <row r="206" spans="2:62" x14ac:dyDescent="0.2">
      <c r="B206" s="175">
        <v>45694</v>
      </c>
      <c r="C206" s="176">
        <v>45694.458741805553</v>
      </c>
      <c r="D206" s="177" t="s">
        <v>267</v>
      </c>
      <c r="E206" s="178" t="s">
        <v>268</v>
      </c>
      <c r="F206" s="179" t="s">
        <v>269</v>
      </c>
      <c r="G206" s="180">
        <v>79.75</v>
      </c>
      <c r="H206" s="181">
        <v>65</v>
      </c>
      <c r="I206" s="181">
        <v>120</v>
      </c>
      <c r="J206" s="181">
        <v>80.06</v>
      </c>
      <c r="K206" s="182">
        <v>79.75</v>
      </c>
      <c r="L206" s="183">
        <v>3245500</v>
      </c>
      <c r="M206" s="184">
        <v>4919500</v>
      </c>
      <c r="N206" s="184">
        <v>115</v>
      </c>
      <c r="O206" s="184">
        <v>58</v>
      </c>
      <c r="P206" s="181">
        <v>4.1100000000000003</v>
      </c>
      <c r="Q206" s="184">
        <v>42778</v>
      </c>
      <c r="R206" s="184">
        <v>175696</v>
      </c>
      <c r="S206" s="184">
        <v>206806</v>
      </c>
      <c r="T206" s="184">
        <v>129820</v>
      </c>
      <c r="U206" s="184">
        <v>188408</v>
      </c>
      <c r="V206" s="182">
        <v>1.52</v>
      </c>
      <c r="W206" s="183">
        <v>28</v>
      </c>
      <c r="X206" s="185">
        <v>25</v>
      </c>
      <c r="Y206" s="183">
        <v>258828625</v>
      </c>
      <c r="Z206" s="179" t="s">
        <v>270</v>
      </c>
      <c r="AA206" s="183">
        <v>2312750</v>
      </c>
      <c r="AB206" s="184">
        <v>3987500</v>
      </c>
      <c r="AC206" s="184">
        <v>6340125</v>
      </c>
      <c r="AD206" s="184">
        <v>837375</v>
      </c>
      <c r="AE206" s="184">
        <v>4306500</v>
      </c>
      <c r="AF206" s="177" t="s">
        <v>200</v>
      </c>
      <c r="AG206" s="184">
        <v>2233000</v>
      </c>
      <c r="AH206" s="184">
        <v>1953875</v>
      </c>
      <c r="AI206" s="184">
        <v>8692750</v>
      </c>
      <c r="AJ206" s="184">
        <v>19817875</v>
      </c>
      <c r="AK206" s="184">
        <v>3110250</v>
      </c>
      <c r="AL206" s="184">
        <v>11763125</v>
      </c>
      <c r="AM206" s="184">
        <v>877250</v>
      </c>
      <c r="AN206" s="184">
        <v>3349500</v>
      </c>
      <c r="AO206" s="184">
        <v>957000</v>
      </c>
      <c r="AP206" s="184">
        <v>19897625</v>
      </c>
      <c r="AQ206" s="184">
        <v>39875</v>
      </c>
      <c r="AR206" s="184">
        <v>19817875</v>
      </c>
      <c r="AS206" s="184">
        <v>29188500</v>
      </c>
      <c r="AT206" s="184">
        <v>0</v>
      </c>
      <c r="AU206" s="184">
        <v>638000</v>
      </c>
      <c r="AV206" s="184">
        <v>0</v>
      </c>
      <c r="AW206" s="184">
        <v>478500</v>
      </c>
      <c r="AX206" s="184">
        <v>49604500</v>
      </c>
      <c r="AY206" s="184">
        <v>398750</v>
      </c>
      <c r="AZ206" s="184">
        <v>19459000</v>
      </c>
      <c r="BA206" s="184">
        <v>7018000</v>
      </c>
      <c r="BB206" s="184">
        <v>1515250</v>
      </c>
      <c r="BC206" s="177" t="s">
        <v>200</v>
      </c>
      <c r="BD206" s="184">
        <v>4147000</v>
      </c>
      <c r="BE206" s="184">
        <v>3548875</v>
      </c>
      <c r="BF206" s="184">
        <v>1395625</v>
      </c>
      <c r="BG206" s="184">
        <v>28072000</v>
      </c>
      <c r="BH206" s="184">
        <v>996875</v>
      </c>
      <c r="BI206" s="184">
        <v>2073500</v>
      </c>
      <c r="BJ206" s="187" t="s">
        <v>200</v>
      </c>
    </row>
    <row r="207" spans="2:62" x14ac:dyDescent="0.2">
      <c r="B207" s="175">
        <v>45693</v>
      </c>
      <c r="C207" s="176">
        <v>45693.45866729167</v>
      </c>
      <c r="D207" s="177" t="s">
        <v>273</v>
      </c>
      <c r="E207" s="178" t="s">
        <v>268</v>
      </c>
      <c r="F207" s="179" t="s">
        <v>269</v>
      </c>
      <c r="G207" s="180">
        <v>77.87</v>
      </c>
      <c r="H207" s="181">
        <v>69</v>
      </c>
      <c r="I207" s="181">
        <v>120</v>
      </c>
      <c r="J207" s="181">
        <v>78.3</v>
      </c>
      <c r="K207" s="182">
        <v>77.75</v>
      </c>
      <c r="L207" s="183">
        <v>2072500</v>
      </c>
      <c r="M207" s="184">
        <v>3879500</v>
      </c>
      <c r="N207" s="184">
        <v>93</v>
      </c>
      <c r="O207" s="184">
        <v>33</v>
      </c>
      <c r="P207" s="181">
        <v>3.72</v>
      </c>
      <c r="Q207" s="184">
        <v>41715</v>
      </c>
      <c r="R207" s="184">
        <v>155180</v>
      </c>
      <c r="S207" s="184">
        <v>149408</v>
      </c>
      <c r="T207" s="184">
        <v>103625</v>
      </c>
      <c r="U207" s="184">
        <v>128300</v>
      </c>
      <c r="V207" s="182">
        <v>1.87</v>
      </c>
      <c r="W207" s="183">
        <v>25</v>
      </c>
      <c r="X207" s="185">
        <v>20</v>
      </c>
      <c r="Y207" s="183">
        <v>161385575</v>
      </c>
      <c r="Z207" s="179" t="s">
        <v>274</v>
      </c>
      <c r="AA207" s="186" t="s">
        <v>200</v>
      </c>
      <c r="AB207" s="177" t="s">
        <v>200</v>
      </c>
      <c r="AC207" s="177" t="s">
        <v>200</v>
      </c>
      <c r="AD207" s="177" t="s">
        <v>200</v>
      </c>
      <c r="AE207" s="177" t="s">
        <v>200</v>
      </c>
      <c r="AF207" s="177" t="s">
        <v>200</v>
      </c>
      <c r="AG207" s="177" t="s">
        <v>200</v>
      </c>
      <c r="AH207" s="177" t="s">
        <v>200</v>
      </c>
      <c r="AI207" s="177" t="s">
        <v>200</v>
      </c>
      <c r="AJ207" s="177" t="s">
        <v>200</v>
      </c>
      <c r="AK207" s="177" t="s">
        <v>200</v>
      </c>
      <c r="AL207" s="177" t="s">
        <v>200</v>
      </c>
      <c r="AM207" s="177" t="s">
        <v>200</v>
      </c>
      <c r="AN207" s="177" t="s">
        <v>200</v>
      </c>
      <c r="AO207" s="177" t="s">
        <v>200</v>
      </c>
      <c r="AP207" s="177" t="s">
        <v>200</v>
      </c>
      <c r="AQ207" s="177" t="s">
        <v>200</v>
      </c>
      <c r="AR207" s="177" t="s">
        <v>200</v>
      </c>
      <c r="AS207" s="177" t="s">
        <v>200</v>
      </c>
      <c r="AT207" s="177" t="s">
        <v>200</v>
      </c>
      <c r="AU207" s="177" t="s">
        <v>200</v>
      </c>
      <c r="AV207" s="177" t="s">
        <v>200</v>
      </c>
      <c r="AW207" s="177" t="s">
        <v>200</v>
      </c>
      <c r="AX207" s="177" t="s">
        <v>200</v>
      </c>
      <c r="AY207" s="177" t="s">
        <v>200</v>
      </c>
      <c r="AZ207" s="177" t="s">
        <v>200</v>
      </c>
      <c r="BA207" s="177" t="s">
        <v>200</v>
      </c>
      <c r="BB207" s="177" t="s">
        <v>200</v>
      </c>
      <c r="BC207" s="184">
        <v>161385575</v>
      </c>
      <c r="BD207" s="177" t="s">
        <v>200</v>
      </c>
      <c r="BE207" s="177" t="s">
        <v>200</v>
      </c>
      <c r="BF207" s="177" t="s">
        <v>200</v>
      </c>
      <c r="BG207" s="177" t="s">
        <v>200</v>
      </c>
      <c r="BH207" s="177" t="s">
        <v>200</v>
      </c>
      <c r="BI207" s="177" t="s">
        <v>200</v>
      </c>
      <c r="BJ207" s="187" t="s">
        <v>200</v>
      </c>
    </row>
    <row r="208" spans="2:62" x14ac:dyDescent="0.2">
      <c r="B208" s="175">
        <v>45692</v>
      </c>
      <c r="C208" s="176">
        <v>45692.45870609954</v>
      </c>
      <c r="D208" s="177" t="s">
        <v>267</v>
      </c>
      <c r="E208" s="178" t="s">
        <v>268</v>
      </c>
      <c r="F208" s="179" t="s">
        <v>269</v>
      </c>
      <c r="G208" s="180">
        <v>79.06</v>
      </c>
      <c r="H208" s="181">
        <v>64</v>
      </c>
      <c r="I208" s="181">
        <v>120</v>
      </c>
      <c r="J208" s="181">
        <v>79.13</v>
      </c>
      <c r="K208" s="182">
        <v>78.81</v>
      </c>
      <c r="L208" s="183">
        <v>3245500</v>
      </c>
      <c r="M208" s="184">
        <v>5494500</v>
      </c>
      <c r="N208" s="184">
        <v>114</v>
      </c>
      <c r="O208" s="184">
        <v>31</v>
      </c>
      <c r="P208" s="181">
        <v>4.07</v>
      </c>
      <c r="Q208" s="184">
        <v>48197</v>
      </c>
      <c r="R208" s="184">
        <v>196232</v>
      </c>
      <c r="S208" s="184">
        <v>273619</v>
      </c>
      <c r="T208" s="184">
        <v>180306</v>
      </c>
      <c r="U208" s="184">
        <v>277747</v>
      </c>
      <c r="V208" s="182">
        <v>1.69</v>
      </c>
      <c r="W208" s="183">
        <v>28</v>
      </c>
      <c r="X208" s="185">
        <v>18</v>
      </c>
      <c r="Y208" s="183">
        <v>256589230</v>
      </c>
      <c r="Z208" s="179" t="s">
        <v>270</v>
      </c>
      <c r="AA208" s="183">
        <v>2292740</v>
      </c>
      <c r="AB208" s="184">
        <v>3953000</v>
      </c>
      <c r="AC208" s="184">
        <v>6285270</v>
      </c>
      <c r="AD208" s="184">
        <v>830130</v>
      </c>
      <c r="AE208" s="184">
        <v>4269240</v>
      </c>
      <c r="AF208" s="177" t="s">
        <v>200</v>
      </c>
      <c r="AG208" s="184">
        <v>2213680</v>
      </c>
      <c r="AH208" s="184">
        <v>1936970</v>
      </c>
      <c r="AI208" s="184">
        <v>8617540</v>
      </c>
      <c r="AJ208" s="184">
        <v>19646410</v>
      </c>
      <c r="AK208" s="184">
        <v>3083340</v>
      </c>
      <c r="AL208" s="184">
        <v>11661350</v>
      </c>
      <c r="AM208" s="184">
        <v>869660</v>
      </c>
      <c r="AN208" s="184">
        <v>3320520</v>
      </c>
      <c r="AO208" s="184">
        <v>948720</v>
      </c>
      <c r="AP208" s="184">
        <v>19725470</v>
      </c>
      <c r="AQ208" s="184">
        <v>39530</v>
      </c>
      <c r="AR208" s="184">
        <v>19646410</v>
      </c>
      <c r="AS208" s="184">
        <v>28935960</v>
      </c>
      <c r="AT208" s="184">
        <v>0</v>
      </c>
      <c r="AU208" s="184">
        <v>632480</v>
      </c>
      <c r="AV208" s="184">
        <v>0</v>
      </c>
      <c r="AW208" s="184">
        <v>474360</v>
      </c>
      <c r="AX208" s="184">
        <v>49175320</v>
      </c>
      <c r="AY208" s="184">
        <v>395300</v>
      </c>
      <c r="AZ208" s="184">
        <v>19290640</v>
      </c>
      <c r="BA208" s="184">
        <v>6957280</v>
      </c>
      <c r="BB208" s="184">
        <v>1502140</v>
      </c>
      <c r="BC208" s="177" t="s">
        <v>200</v>
      </c>
      <c r="BD208" s="184">
        <v>4111120</v>
      </c>
      <c r="BE208" s="184">
        <v>3518170</v>
      </c>
      <c r="BF208" s="184">
        <v>1383550</v>
      </c>
      <c r="BG208" s="184">
        <v>27829120</v>
      </c>
      <c r="BH208" s="184">
        <v>988250</v>
      </c>
      <c r="BI208" s="184">
        <v>2055560</v>
      </c>
      <c r="BJ208" s="187" t="s">
        <v>200</v>
      </c>
    </row>
    <row r="209" spans="2:62" x14ac:dyDescent="0.2">
      <c r="B209" s="175">
        <v>45691</v>
      </c>
      <c r="C209" s="176">
        <v>45691.458970509259</v>
      </c>
      <c r="D209" s="177" t="s">
        <v>267</v>
      </c>
      <c r="E209" s="178" t="s">
        <v>268</v>
      </c>
      <c r="F209" s="179" t="s">
        <v>269</v>
      </c>
      <c r="G209" s="180">
        <v>80.39</v>
      </c>
      <c r="H209" s="181">
        <v>64</v>
      </c>
      <c r="I209" s="181">
        <v>120</v>
      </c>
      <c r="J209" s="181">
        <v>80.680000000000007</v>
      </c>
      <c r="K209" s="182">
        <v>80.31</v>
      </c>
      <c r="L209" s="183">
        <v>3245500</v>
      </c>
      <c r="M209" s="184">
        <v>5036500</v>
      </c>
      <c r="N209" s="184">
        <v>104</v>
      </c>
      <c r="O209" s="184">
        <v>43</v>
      </c>
      <c r="P209" s="181">
        <v>4</v>
      </c>
      <c r="Q209" s="184">
        <v>48428</v>
      </c>
      <c r="R209" s="184">
        <v>193712</v>
      </c>
      <c r="S209" s="184">
        <v>183360</v>
      </c>
      <c r="T209" s="184">
        <v>135229</v>
      </c>
      <c r="U209" s="184">
        <v>138472</v>
      </c>
      <c r="V209" s="182">
        <v>1.55</v>
      </c>
      <c r="W209" s="183">
        <v>26</v>
      </c>
      <c r="X209" s="185">
        <v>24</v>
      </c>
      <c r="Y209" s="183">
        <v>260905745</v>
      </c>
      <c r="Z209" s="179" t="s">
        <v>270</v>
      </c>
      <c r="AA209" s="183">
        <v>2331310</v>
      </c>
      <c r="AB209" s="184">
        <v>4019500</v>
      </c>
      <c r="AC209" s="184">
        <v>6391005</v>
      </c>
      <c r="AD209" s="184">
        <v>844095</v>
      </c>
      <c r="AE209" s="184">
        <v>4341060</v>
      </c>
      <c r="AF209" s="177" t="s">
        <v>200</v>
      </c>
      <c r="AG209" s="184">
        <v>2250920</v>
      </c>
      <c r="AH209" s="184">
        <v>1969555</v>
      </c>
      <c r="AI209" s="184">
        <v>8762510</v>
      </c>
      <c r="AJ209" s="184">
        <v>19976915</v>
      </c>
      <c r="AK209" s="184">
        <v>3135210</v>
      </c>
      <c r="AL209" s="184">
        <v>11857525</v>
      </c>
      <c r="AM209" s="184">
        <v>884290</v>
      </c>
      <c r="AN209" s="184">
        <v>3376380</v>
      </c>
      <c r="AO209" s="184">
        <v>964680</v>
      </c>
      <c r="AP209" s="184">
        <v>20057305</v>
      </c>
      <c r="AQ209" s="184">
        <v>40195</v>
      </c>
      <c r="AR209" s="184">
        <v>19976915</v>
      </c>
      <c r="AS209" s="184">
        <v>29422740</v>
      </c>
      <c r="AT209" s="184">
        <v>0</v>
      </c>
      <c r="AU209" s="184">
        <v>643120</v>
      </c>
      <c r="AV209" s="184">
        <v>0</v>
      </c>
      <c r="AW209" s="184">
        <v>482340</v>
      </c>
      <c r="AX209" s="184">
        <v>50002580</v>
      </c>
      <c r="AY209" s="184">
        <v>401950</v>
      </c>
      <c r="AZ209" s="184">
        <v>19615160</v>
      </c>
      <c r="BA209" s="184">
        <v>7074320</v>
      </c>
      <c r="BB209" s="184">
        <v>1527410</v>
      </c>
      <c r="BC209" s="177" t="s">
        <v>200</v>
      </c>
      <c r="BD209" s="184">
        <v>4180280</v>
      </c>
      <c r="BE209" s="184">
        <v>3577355</v>
      </c>
      <c r="BF209" s="184">
        <v>1406825</v>
      </c>
      <c r="BG209" s="184">
        <v>28297280</v>
      </c>
      <c r="BH209" s="184">
        <v>1004875</v>
      </c>
      <c r="BI209" s="184">
        <v>2090140</v>
      </c>
      <c r="BJ209" s="187" t="s">
        <v>200</v>
      </c>
    </row>
    <row r="210" spans="2:62" x14ac:dyDescent="0.2">
      <c r="B210" s="175">
        <v>45688</v>
      </c>
      <c r="C210" s="176">
        <v>45688.458908773151</v>
      </c>
      <c r="D210" s="177" t="s">
        <v>271</v>
      </c>
      <c r="E210" s="178" t="s">
        <v>268</v>
      </c>
      <c r="F210" s="179" t="s">
        <v>269</v>
      </c>
      <c r="G210" s="180">
        <v>81.11</v>
      </c>
      <c r="H210" s="181">
        <v>64</v>
      </c>
      <c r="I210" s="181">
        <v>120</v>
      </c>
      <c r="J210" s="181">
        <v>81.66</v>
      </c>
      <c r="K210" s="182">
        <v>80.66</v>
      </c>
      <c r="L210" s="183">
        <v>1607000</v>
      </c>
      <c r="M210" s="184">
        <v>3595000</v>
      </c>
      <c r="N210" s="184">
        <v>99</v>
      </c>
      <c r="O210" s="184">
        <v>24</v>
      </c>
      <c r="P210" s="181">
        <v>3.54</v>
      </c>
      <c r="Q210" s="184">
        <v>36313</v>
      </c>
      <c r="R210" s="184">
        <v>128393</v>
      </c>
      <c r="S210" s="184">
        <v>143427</v>
      </c>
      <c r="T210" s="184">
        <v>100438</v>
      </c>
      <c r="U210" s="184">
        <v>120839</v>
      </c>
      <c r="V210" s="182">
        <v>2.2400000000000002</v>
      </c>
      <c r="W210" s="183">
        <v>28</v>
      </c>
      <c r="X210" s="185">
        <v>16</v>
      </c>
      <c r="Y210" s="183">
        <v>130343770</v>
      </c>
      <c r="Z210" s="179" t="s">
        <v>272</v>
      </c>
      <c r="AA210" s="186" t="s">
        <v>200</v>
      </c>
      <c r="AB210" s="177" t="s">
        <v>200</v>
      </c>
      <c r="AC210" s="177" t="s">
        <v>200</v>
      </c>
      <c r="AD210" s="177" t="s">
        <v>200</v>
      </c>
      <c r="AE210" s="177" t="s">
        <v>200</v>
      </c>
      <c r="AF210" s="184">
        <v>130343770</v>
      </c>
      <c r="AG210" s="177" t="s">
        <v>200</v>
      </c>
      <c r="AH210" s="177" t="s">
        <v>200</v>
      </c>
      <c r="AI210" s="177" t="s">
        <v>200</v>
      </c>
      <c r="AJ210" s="177" t="s">
        <v>200</v>
      </c>
      <c r="AK210" s="177" t="s">
        <v>200</v>
      </c>
      <c r="AL210" s="177" t="s">
        <v>200</v>
      </c>
      <c r="AM210" s="177" t="s">
        <v>200</v>
      </c>
      <c r="AN210" s="177" t="s">
        <v>200</v>
      </c>
      <c r="AO210" s="177" t="s">
        <v>200</v>
      </c>
      <c r="AP210" s="177" t="s">
        <v>200</v>
      </c>
      <c r="AQ210" s="177" t="s">
        <v>200</v>
      </c>
      <c r="AR210" s="177" t="s">
        <v>200</v>
      </c>
      <c r="AS210" s="177" t="s">
        <v>200</v>
      </c>
      <c r="AT210" s="177" t="s">
        <v>200</v>
      </c>
      <c r="AU210" s="177" t="s">
        <v>200</v>
      </c>
      <c r="AV210" s="177" t="s">
        <v>200</v>
      </c>
      <c r="AW210" s="177" t="s">
        <v>200</v>
      </c>
      <c r="AX210" s="177" t="s">
        <v>200</v>
      </c>
      <c r="AY210" s="177" t="s">
        <v>200</v>
      </c>
      <c r="AZ210" s="177" t="s">
        <v>200</v>
      </c>
      <c r="BA210" s="177" t="s">
        <v>200</v>
      </c>
      <c r="BB210" s="177" t="s">
        <v>200</v>
      </c>
      <c r="BC210" s="177" t="s">
        <v>200</v>
      </c>
      <c r="BD210" s="177" t="s">
        <v>200</v>
      </c>
      <c r="BE210" s="177" t="s">
        <v>200</v>
      </c>
      <c r="BF210" s="177" t="s">
        <v>200</v>
      </c>
      <c r="BG210" s="177" t="s">
        <v>200</v>
      </c>
      <c r="BH210" s="177" t="s">
        <v>200</v>
      </c>
      <c r="BI210" s="177" t="s">
        <v>200</v>
      </c>
      <c r="BJ210" s="187" t="s">
        <v>200</v>
      </c>
    </row>
    <row r="211" spans="2:62" x14ac:dyDescent="0.2">
      <c r="B211" s="175">
        <v>45687</v>
      </c>
      <c r="C211" s="176">
        <v>45687.458518622683</v>
      </c>
      <c r="D211" s="177" t="s">
        <v>267</v>
      </c>
      <c r="E211" s="178" t="s">
        <v>268</v>
      </c>
      <c r="F211" s="179" t="s">
        <v>269</v>
      </c>
      <c r="G211" s="180">
        <v>81.569999999999993</v>
      </c>
      <c r="H211" s="181">
        <v>65</v>
      </c>
      <c r="I211" s="181">
        <v>120</v>
      </c>
      <c r="J211" s="181">
        <v>81.5</v>
      </c>
      <c r="K211" s="182">
        <v>81.349999999999994</v>
      </c>
      <c r="L211" s="183">
        <v>3245500</v>
      </c>
      <c r="M211" s="184">
        <v>5546500</v>
      </c>
      <c r="N211" s="184">
        <v>111</v>
      </c>
      <c r="O211" s="184">
        <v>38</v>
      </c>
      <c r="P211" s="181">
        <v>4.1100000000000003</v>
      </c>
      <c r="Q211" s="184">
        <v>49968</v>
      </c>
      <c r="R211" s="184">
        <v>205426</v>
      </c>
      <c r="S211" s="184">
        <v>201727</v>
      </c>
      <c r="T211" s="184">
        <v>162275</v>
      </c>
      <c r="U211" s="184">
        <v>189776</v>
      </c>
      <c r="V211" s="182">
        <v>1.71</v>
      </c>
      <c r="W211" s="183">
        <v>27</v>
      </c>
      <c r="X211" s="185">
        <v>20</v>
      </c>
      <c r="Y211" s="183">
        <v>264735435</v>
      </c>
      <c r="Z211" s="179" t="s">
        <v>270</v>
      </c>
      <c r="AA211" s="183">
        <v>2365530</v>
      </c>
      <c r="AB211" s="184">
        <v>4078500</v>
      </c>
      <c r="AC211" s="184">
        <v>6484815</v>
      </c>
      <c r="AD211" s="184">
        <v>856485</v>
      </c>
      <c r="AE211" s="184">
        <v>4404780</v>
      </c>
      <c r="AF211" s="177" t="s">
        <v>200</v>
      </c>
      <c r="AG211" s="184">
        <v>2283960</v>
      </c>
      <c r="AH211" s="184">
        <v>1998465</v>
      </c>
      <c r="AI211" s="184">
        <v>8891130</v>
      </c>
      <c r="AJ211" s="184">
        <v>20270145</v>
      </c>
      <c r="AK211" s="184">
        <v>3181230</v>
      </c>
      <c r="AL211" s="184">
        <v>12031575</v>
      </c>
      <c r="AM211" s="184">
        <v>897270</v>
      </c>
      <c r="AN211" s="184">
        <v>3425940</v>
      </c>
      <c r="AO211" s="184">
        <v>978840</v>
      </c>
      <c r="AP211" s="184">
        <v>20351715</v>
      </c>
      <c r="AQ211" s="184">
        <v>40785</v>
      </c>
      <c r="AR211" s="184">
        <v>20270145</v>
      </c>
      <c r="AS211" s="184">
        <v>29854620</v>
      </c>
      <c r="AT211" s="184">
        <v>0</v>
      </c>
      <c r="AU211" s="184">
        <v>652560</v>
      </c>
      <c r="AV211" s="184">
        <v>0</v>
      </c>
      <c r="AW211" s="184">
        <v>489420</v>
      </c>
      <c r="AX211" s="184">
        <v>50736540</v>
      </c>
      <c r="AY211" s="184">
        <v>407850</v>
      </c>
      <c r="AZ211" s="184">
        <v>19903080</v>
      </c>
      <c r="BA211" s="184">
        <v>7178160</v>
      </c>
      <c r="BB211" s="184">
        <v>1549830</v>
      </c>
      <c r="BC211" s="177" t="s">
        <v>200</v>
      </c>
      <c r="BD211" s="184">
        <v>4241640</v>
      </c>
      <c r="BE211" s="184">
        <v>3629865</v>
      </c>
      <c r="BF211" s="184">
        <v>1427475</v>
      </c>
      <c r="BG211" s="184">
        <v>28712640</v>
      </c>
      <c r="BH211" s="184">
        <v>1019625</v>
      </c>
      <c r="BI211" s="184">
        <v>2120820</v>
      </c>
      <c r="BJ211" s="187" t="s">
        <v>200</v>
      </c>
    </row>
    <row r="212" spans="2:62" x14ac:dyDescent="0.2">
      <c r="B212" s="175">
        <v>45685</v>
      </c>
      <c r="C212" s="176">
        <v>45685.458590011571</v>
      </c>
      <c r="D212" s="177" t="s">
        <v>267</v>
      </c>
      <c r="E212" s="178" t="s">
        <v>268</v>
      </c>
      <c r="F212" s="179" t="s">
        <v>269</v>
      </c>
      <c r="G212" s="180">
        <v>77.06</v>
      </c>
      <c r="H212" s="181">
        <v>0.01</v>
      </c>
      <c r="I212" s="181">
        <v>120</v>
      </c>
      <c r="J212" s="181">
        <v>76.400000000000006</v>
      </c>
      <c r="K212" s="182">
        <v>76.61</v>
      </c>
      <c r="L212" s="183">
        <v>3245500</v>
      </c>
      <c r="M212" s="184">
        <v>5527000</v>
      </c>
      <c r="N212" s="184">
        <v>114</v>
      </c>
      <c r="O212" s="184">
        <v>37</v>
      </c>
      <c r="P212" s="181">
        <v>4.38</v>
      </c>
      <c r="Q212" s="184">
        <v>48482</v>
      </c>
      <c r="R212" s="184">
        <v>212577</v>
      </c>
      <c r="S212" s="184">
        <v>238841</v>
      </c>
      <c r="T212" s="184">
        <v>190912</v>
      </c>
      <c r="U212" s="184">
        <v>272419</v>
      </c>
      <c r="V212" s="182">
        <v>1.7</v>
      </c>
      <c r="W212" s="183">
        <v>26</v>
      </c>
      <c r="X212" s="185">
        <v>17</v>
      </c>
      <c r="Y212" s="183">
        <v>250098230</v>
      </c>
      <c r="Z212" s="179" t="s">
        <v>270</v>
      </c>
      <c r="AA212" s="183">
        <v>2234740</v>
      </c>
      <c r="AB212" s="184">
        <v>3853000</v>
      </c>
      <c r="AC212" s="184">
        <v>6126270</v>
      </c>
      <c r="AD212" s="184">
        <v>809130</v>
      </c>
      <c r="AE212" s="184">
        <v>4161240</v>
      </c>
      <c r="AF212" s="177" t="s">
        <v>200</v>
      </c>
      <c r="AG212" s="184">
        <v>2157680</v>
      </c>
      <c r="AH212" s="184">
        <v>1887970</v>
      </c>
      <c r="AI212" s="184">
        <v>8399540</v>
      </c>
      <c r="AJ212" s="184">
        <v>19149410</v>
      </c>
      <c r="AK212" s="184">
        <v>3005340</v>
      </c>
      <c r="AL212" s="184">
        <v>11366350</v>
      </c>
      <c r="AM212" s="184">
        <v>847660</v>
      </c>
      <c r="AN212" s="184">
        <v>3236520</v>
      </c>
      <c r="AO212" s="184">
        <v>924720</v>
      </c>
      <c r="AP212" s="184">
        <v>19226470</v>
      </c>
      <c r="AQ212" s="184">
        <v>38530</v>
      </c>
      <c r="AR212" s="184">
        <v>19149410</v>
      </c>
      <c r="AS212" s="184">
        <v>28203960</v>
      </c>
      <c r="AT212" s="184">
        <v>0</v>
      </c>
      <c r="AU212" s="184">
        <v>616480</v>
      </c>
      <c r="AV212" s="184">
        <v>0</v>
      </c>
      <c r="AW212" s="184">
        <v>462360</v>
      </c>
      <c r="AX212" s="184">
        <v>47931320</v>
      </c>
      <c r="AY212" s="184">
        <v>385300</v>
      </c>
      <c r="AZ212" s="184">
        <v>18802640</v>
      </c>
      <c r="BA212" s="184">
        <v>6781280</v>
      </c>
      <c r="BB212" s="184">
        <v>1464140</v>
      </c>
      <c r="BC212" s="177" t="s">
        <v>200</v>
      </c>
      <c r="BD212" s="184">
        <v>4007120</v>
      </c>
      <c r="BE212" s="184">
        <v>3429170</v>
      </c>
      <c r="BF212" s="184">
        <v>1348550</v>
      </c>
      <c r="BG212" s="184">
        <v>27125120</v>
      </c>
      <c r="BH212" s="184">
        <v>963250</v>
      </c>
      <c r="BI212" s="184">
        <v>2003560</v>
      </c>
      <c r="BJ212" s="187" t="s">
        <v>200</v>
      </c>
    </row>
    <row r="213" spans="2:62" x14ac:dyDescent="0.2">
      <c r="B213" s="175">
        <v>45684</v>
      </c>
      <c r="C213" s="176">
        <v>45684.458840150466</v>
      </c>
      <c r="D213" s="177" t="s">
        <v>267</v>
      </c>
      <c r="E213" s="178" t="s">
        <v>268</v>
      </c>
      <c r="F213" s="179" t="s">
        <v>269</v>
      </c>
      <c r="G213" s="180">
        <v>77.7</v>
      </c>
      <c r="H213" s="181">
        <v>64</v>
      </c>
      <c r="I213" s="181">
        <v>120</v>
      </c>
      <c r="J213" s="181">
        <v>78.41</v>
      </c>
      <c r="K213" s="182">
        <v>77.55</v>
      </c>
      <c r="L213" s="183">
        <v>3245500</v>
      </c>
      <c r="M213" s="184">
        <v>5402000</v>
      </c>
      <c r="N213" s="184">
        <v>111</v>
      </c>
      <c r="O213" s="184">
        <v>43</v>
      </c>
      <c r="P213" s="181">
        <v>4.1100000000000003</v>
      </c>
      <c r="Q213" s="184">
        <v>48667</v>
      </c>
      <c r="R213" s="184">
        <v>200074</v>
      </c>
      <c r="S213" s="184">
        <v>217016</v>
      </c>
      <c r="T213" s="184">
        <v>141109</v>
      </c>
      <c r="U213" s="184">
        <v>198304</v>
      </c>
      <c r="V213" s="182">
        <v>1.66</v>
      </c>
      <c r="W213" s="183">
        <v>27</v>
      </c>
      <c r="X213" s="185">
        <v>23</v>
      </c>
      <c r="Y213" s="183">
        <v>252175350</v>
      </c>
      <c r="Z213" s="179" t="s">
        <v>270</v>
      </c>
      <c r="AA213" s="183">
        <v>2253300</v>
      </c>
      <c r="AB213" s="184">
        <v>3885000</v>
      </c>
      <c r="AC213" s="184">
        <v>6177150</v>
      </c>
      <c r="AD213" s="184">
        <v>815850</v>
      </c>
      <c r="AE213" s="184">
        <v>4195800</v>
      </c>
      <c r="AF213" s="177" t="s">
        <v>200</v>
      </c>
      <c r="AG213" s="184">
        <v>2175600</v>
      </c>
      <c r="AH213" s="184">
        <v>1903650</v>
      </c>
      <c r="AI213" s="184">
        <v>8469300</v>
      </c>
      <c r="AJ213" s="184">
        <v>19308450</v>
      </c>
      <c r="AK213" s="184">
        <v>3030300</v>
      </c>
      <c r="AL213" s="184">
        <v>11460750</v>
      </c>
      <c r="AM213" s="184">
        <v>854700</v>
      </c>
      <c r="AN213" s="184">
        <v>3263400</v>
      </c>
      <c r="AO213" s="184">
        <v>932400</v>
      </c>
      <c r="AP213" s="184">
        <v>19386150</v>
      </c>
      <c r="AQ213" s="184">
        <v>38850</v>
      </c>
      <c r="AR213" s="184">
        <v>19308450</v>
      </c>
      <c r="AS213" s="184">
        <v>28438200</v>
      </c>
      <c r="AT213" s="184">
        <v>0</v>
      </c>
      <c r="AU213" s="184">
        <v>621600</v>
      </c>
      <c r="AV213" s="184">
        <v>0</v>
      </c>
      <c r="AW213" s="184">
        <v>466200</v>
      </c>
      <c r="AX213" s="184">
        <v>48329400</v>
      </c>
      <c r="AY213" s="184">
        <v>388500</v>
      </c>
      <c r="AZ213" s="184">
        <v>18958800</v>
      </c>
      <c r="BA213" s="184">
        <v>6837600</v>
      </c>
      <c r="BB213" s="184">
        <v>1476300</v>
      </c>
      <c r="BC213" s="177" t="s">
        <v>200</v>
      </c>
      <c r="BD213" s="184">
        <v>4040400</v>
      </c>
      <c r="BE213" s="184">
        <v>3457650</v>
      </c>
      <c r="BF213" s="184">
        <v>1359750</v>
      </c>
      <c r="BG213" s="184">
        <v>27350400</v>
      </c>
      <c r="BH213" s="184">
        <v>971250</v>
      </c>
      <c r="BI213" s="184">
        <v>2020200</v>
      </c>
      <c r="BJ213" s="187" t="s">
        <v>200</v>
      </c>
    </row>
    <row r="214" spans="2:62" x14ac:dyDescent="0.2">
      <c r="B214" s="175">
        <v>45681</v>
      </c>
      <c r="C214" s="176">
        <v>45681.459274699075</v>
      </c>
      <c r="D214" s="177" t="s">
        <v>271</v>
      </c>
      <c r="E214" s="178" t="s">
        <v>268</v>
      </c>
      <c r="F214" s="179" t="s">
        <v>269</v>
      </c>
      <c r="G214" s="180">
        <v>78.430000000000007</v>
      </c>
      <c r="H214" s="181">
        <v>76.010000000000005</v>
      </c>
      <c r="I214" s="181">
        <v>120</v>
      </c>
      <c r="J214" s="181">
        <v>78.73</v>
      </c>
      <c r="K214" s="182">
        <v>78.209999999999994</v>
      </c>
      <c r="L214" s="183">
        <v>1607000</v>
      </c>
      <c r="M214" s="184">
        <v>3591000</v>
      </c>
      <c r="N214" s="184">
        <v>100</v>
      </c>
      <c r="O214" s="184">
        <v>28</v>
      </c>
      <c r="P214" s="181">
        <v>4.17</v>
      </c>
      <c r="Q214" s="184">
        <v>35910</v>
      </c>
      <c r="R214" s="184">
        <v>149625</v>
      </c>
      <c r="S214" s="184">
        <v>145936</v>
      </c>
      <c r="T214" s="184">
        <v>84579</v>
      </c>
      <c r="U214" s="184">
        <v>106651</v>
      </c>
      <c r="V214" s="182">
        <v>2.23</v>
      </c>
      <c r="W214" s="183">
        <v>24</v>
      </c>
      <c r="X214" s="185">
        <v>19</v>
      </c>
      <c r="Y214" s="183">
        <v>126037010</v>
      </c>
      <c r="Z214" s="179" t="s">
        <v>272</v>
      </c>
      <c r="AA214" s="186" t="s">
        <v>200</v>
      </c>
      <c r="AB214" s="177" t="s">
        <v>200</v>
      </c>
      <c r="AC214" s="177" t="s">
        <v>200</v>
      </c>
      <c r="AD214" s="177" t="s">
        <v>200</v>
      </c>
      <c r="AE214" s="177" t="s">
        <v>200</v>
      </c>
      <c r="AF214" s="184">
        <v>126037010</v>
      </c>
      <c r="AG214" s="177" t="s">
        <v>200</v>
      </c>
      <c r="AH214" s="177" t="s">
        <v>200</v>
      </c>
      <c r="AI214" s="177" t="s">
        <v>200</v>
      </c>
      <c r="AJ214" s="177" t="s">
        <v>200</v>
      </c>
      <c r="AK214" s="177" t="s">
        <v>200</v>
      </c>
      <c r="AL214" s="177" t="s">
        <v>200</v>
      </c>
      <c r="AM214" s="177" t="s">
        <v>200</v>
      </c>
      <c r="AN214" s="177" t="s">
        <v>200</v>
      </c>
      <c r="AO214" s="177" t="s">
        <v>200</v>
      </c>
      <c r="AP214" s="177" t="s">
        <v>200</v>
      </c>
      <c r="AQ214" s="177" t="s">
        <v>200</v>
      </c>
      <c r="AR214" s="177" t="s">
        <v>200</v>
      </c>
      <c r="AS214" s="177" t="s">
        <v>200</v>
      </c>
      <c r="AT214" s="177" t="s">
        <v>200</v>
      </c>
      <c r="AU214" s="177" t="s">
        <v>200</v>
      </c>
      <c r="AV214" s="177" t="s">
        <v>200</v>
      </c>
      <c r="AW214" s="177" t="s">
        <v>200</v>
      </c>
      <c r="AX214" s="177" t="s">
        <v>200</v>
      </c>
      <c r="AY214" s="177" t="s">
        <v>200</v>
      </c>
      <c r="AZ214" s="177" t="s">
        <v>200</v>
      </c>
      <c r="BA214" s="177" t="s">
        <v>200</v>
      </c>
      <c r="BB214" s="177" t="s">
        <v>200</v>
      </c>
      <c r="BC214" s="177" t="s">
        <v>200</v>
      </c>
      <c r="BD214" s="177" t="s">
        <v>200</v>
      </c>
      <c r="BE214" s="177" t="s">
        <v>200</v>
      </c>
      <c r="BF214" s="177" t="s">
        <v>200</v>
      </c>
      <c r="BG214" s="177" t="s">
        <v>200</v>
      </c>
      <c r="BH214" s="177" t="s">
        <v>200</v>
      </c>
      <c r="BI214" s="177" t="s">
        <v>200</v>
      </c>
      <c r="BJ214" s="187" t="s">
        <v>200</v>
      </c>
    </row>
    <row r="215" spans="2:62" x14ac:dyDescent="0.2">
      <c r="B215" s="175">
        <v>45680</v>
      </c>
      <c r="C215" s="176">
        <v>45680.458701828706</v>
      </c>
      <c r="D215" s="177" t="s">
        <v>267</v>
      </c>
      <c r="E215" s="178" t="s">
        <v>268</v>
      </c>
      <c r="F215" s="179" t="s">
        <v>269</v>
      </c>
      <c r="G215" s="180">
        <v>79.06</v>
      </c>
      <c r="H215" s="181">
        <v>64</v>
      </c>
      <c r="I215" s="181">
        <v>120</v>
      </c>
      <c r="J215" s="181">
        <v>79.34</v>
      </c>
      <c r="K215" s="182">
        <v>79.010000000000005</v>
      </c>
      <c r="L215" s="183">
        <v>3245500</v>
      </c>
      <c r="M215" s="184">
        <v>4860500</v>
      </c>
      <c r="N215" s="184">
        <v>107</v>
      </c>
      <c r="O215" s="184">
        <v>46</v>
      </c>
      <c r="P215" s="181">
        <v>4.12</v>
      </c>
      <c r="Q215" s="184">
        <v>45425</v>
      </c>
      <c r="R215" s="184">
        <v>186942</v>
      </c>
      <c r="S215" s="184">
        <v>250364</v>
      </c>
      <c r="T215" s="184">
        <v>147523</v>
      </c>
      <c r="U215" s="184">
        <v>228529</v>
      </c>
      <c r="V215" s="182">
        <v>1.5</v>
      </c>
      <c r="W215" s="183">
        <v>26</v>
      </c>
      <c r="X215" s="185">
        <v>22</v>
      </c>
      <c r="Y215" s="183">
        <v>256589230</v>
      </c>
      <c r="Z215" s="179" t="s">
        <v>270</v>
      </c>
      <c r="AA215" s="183">
        <v>2292740</v>
      </c>
      <c r="AB215" s="184">
        <v>3953000</v>
      </c>
      <c r="AC215" s="184">
        <v>6285270</v>
      </c>
      <c r="AD215" s="184">
        <v>830130</v>
      </c>
      <c r="AE215" s="184">
        <v>4269240</v>
      </c>
      <c r="AF215" s="177" t="s">
        <v>200</v>
      </c>
      <c r="AG215" s="184">
        <v>2213680</v>
      </c>
      <c r="AH215" s="184">
        <v>1936970</v>
      </c>
      <c r="AI215" s="184">
        <v>8617540</v>
      </c>
      <c r="AJ215" s="184">
        <v>19646410</v>
      </c>
      <c r="AK215" s="184">
        <v>3083340</v>
      </c>
      <c r="AL215" s="184">
        <v>11661350</v>
      </c>
      <c r="AM215" s="184">
        <v>869660</v>
      </c>
      <c r="AN215" s="184">
        <v>3320520</v>
      </c>
      <c r="AO215" s="184">
        <v>948720</v>
      </c>
      <c r="AP215" s="184">
        <v>19725470</v>
      </c>
      <c r="AQ215" s="184">
        <v>39530</v>
      </c>
      <c r="AR215" s="184">
        <v>19646410</v>
      </c>
      <c r="AS215" s="184">
        <v>28935960</v>
      </c>
      <c r="AT215" s="184">
        <v>0</v>
      </c>
      <c r="AU215" s="184">
        <v>632480</v>
      </c>
      <c r="AV215" s="184">
        <v>0</v>
      </c>
      <c r="AW215" s="184">
        <v>474360</v>
      </c>
      <c r="AX215" s="184">
        <v>49175320</v>
      </c>
      <c r="AY215" s="184">
        <v>395300</v>
      </c>
      <c r="AZ215" s="184">
        <v>19290640</v>
      </c>
      <c r="BA215" s="184">
        <v>6957280</v>
      </c>
      <c r="BB215" s="184">
        <v>1502140</v>
      </c>
      <c r="BC215" s="177" t="s">
        <v>200</v>
      </c>
      <c r="BD215" s="184">
        <v>4111120</v>
      </c>
      <c r="BE215" s="184">
        <v>3518170</v>
      </c>
      <c r="BF215" s="184">
        <v>1383550</v>
      </c>
      <c r="BG215" s="184">
        <v>27829120</v>
      </c>
      <c r="BH215" s="184">
        <v>988250</v>
      </c>
      <c r="BI215" s="184">
        <v>2055560</v>
      </c>
      <c r="BJ215" s="187" t="s">
        <v>200</v>
      </c>
    </row>
    <row r="216" spans="2:62" x14ac:dyDescent="0.2">
      <c r="B216" s="175">
        <v>45679</v>
      </c>
      <c r="C216" s="176">
        <v>45679.458763090275</v>
      </c>
      <c r="D216" s="177" t="s">
        <v>273</v>
      </c>
      <c r="E216" s="178" t="s">
        <v>268</v>
      </c>
      <c r="F216" s="179" t="s">
        <v>269</v>
      </c>
      <c r="G216" s="180">
        <v>76.709999999999994</v>
      </c>
      <c r="H216" s="181">
        <v>64</v>
      </c>
      <c r="I216" s="181">
        <v>120</v>
      </c>
      <c r="J216" s="181">
        <v>76.87</v>
      </c>
      <c r="K216" s="182">
        <v>76.56</v>
      </c>
      <c r="L216" s="183">
        <v>2072500</v>
      </c>
      <c r="M216" s="184">
        <v>3697000</v>
      </c>
      <c r="N216" s="184">
        <v>109</v>
      </c>
      <c r="O216" s="184">
        <v>42</v>
      </c>
      <c r="P216" s="181">
        <v>4.04</v>
      </c>
      <c r="Q216" s="184">
        <v>33917</v>
      </c>
      <c r="R216" s="184">
        <v>136926</v>
      </c>
      <c r="S216" s="184">
        <v>140203</v>
      </c>
      <c r="T216" s="184">
        <v>90109</v>
      </c>
      <c r="U216" s="184">
        <v>109572</v>
      </c>
      <c r="V216" s="182">
        <v>1.78</v>
      </c>
      <c r="W216" s="183">
        <v>27</v>
      </c>
      <c r="X216" s="185">
        <v>23</v>
      </c>
      <c r="Y216" s="183">
        <v>158981475</v>
      </c>
      <c r="Z216" s="179" t="s">
        <v>274</v>
      </c>
      <c r="AA216" s="186" t="s">
        <v>200</v>
      </c>
      <c r="AB216" s="177" t="s">
        <v>200</v>
      </c>
      <c r="AC216" s="177" t="s">
        <v>200</v>
      </c>
      <c r="AD216" s="177" t="s">
        <v>200</v>
      </c>
      <c r="AE216" s="177" t="s">
        <v>200</v>
      </c>
      <c r="AF216" s="177" t="s">
        <v>200</v>
      </c>
      <c r="AG216" s="177" t="s">
        <v>200</v>
      </c>
      <c r="AH216" s="177" t="s">
        <v>200</v>
      </c>
      <c r="AI216" s="177" t="s">
        <v>200</v>
      </c>
      <c r="AJ216" s="177" t="s">
        <v>200</v>
      </c>
      <c r="AK216" s="177" t="s">
        <v>200</v>
      </c>
      <c r="AL216" s="177" t="s">
        <v>200</v>
      </c>
      <c r="AM216" s="177" t="s">
        <v>200</v>
      </c>
      <c r="AN216" s="177" t="s">
        <v>200</v>
      </c>
      <c r="AO216" s="177" t="s">
        <v>200</v>
      </c>
      <c r="AP216" s="177" t="s">
        <v>200</v>
      </c>
      <c r="AQ216" s="177" t="s">
        <v>200</v>
      </c>
      <c r="AR216" s="177" t="s">
        <v>200</v>
      </c>
      <c r="AS216" s="177" t="s">
        <v>200</v>
      </c>
      <c r="AT216" s="177" t="s">
        <v>200</v>
      </c>
      <c r="AU216" s="177" t="s">
        <v>200</v>
      </c>
      <c r="AV216" s="177" t="s">
        <v>200</v>
      </c>
      <c r="AW216" s="177" t="s">
        <v>200</v>
      </c>
      <c r="AX216" s="177" t="s">
        <v>200</v>
      </c>
      <c r="AY216" s="177" t="s">
        <v>200</v>
      </c>
      <c r="AZ216" s="177" t="s">
        <v>200</v>
      </c>
      <c r="BA216" s="177" t="s">
        <v>200</v>
      </c>
      <c r="BB216" s="177" t="s">
        <v>200</v>
      </c>
      <c r="BC216" s="184">
        <v>158981475</v>
      </c>
      <c r="BD216" s="177" t="s">
        <v>200</v>
      </c>
      <c r="BE216" s="177" t="s">
        <v>200</v>
      </c>
      <c r="BF216" s="177" t="s">
        <v>200</v>
      </c>
      <c r="BG216" s="177" t="s">
        <v>200</v>
      </c>
      <c r="BH216" s="177" t="s">
        <v>200</v>
      </c>
      <c r="BI216" s="177" t="s">
        <v>200</v>
      </c>
      <c r="BJ216" s="187" t="s">
        <v>200</v>
      </c>
    </row>
    <row r="217" spans="2:62" x14ac:dyDescent="0.2">
      <c r="B217" s="175">
        <v>45678</v>
      </c>
      <c r="C217" s="176">
        <v>45678.458736898145</v>
      </c>
      <c r="D217" s="177" t="s">
        <v>267</v>
      </c>
      <c r="E217" s="178" t="s">
        <v>268</v>
      </c>
      <c r="F217" s="179" t="s">
        <v>269</v>
      </c>
      <c r="G217" s="180">
        <v>77.3</v>
      </c>
      <c r="H217" s="181">
        <v>64</v>
      </c>
      <c r="I217" s="181">
        <v>120</v>
      </c>
      <c r="J217" s="181">
        <v>78.27</v>
      </c>
      <c r="K217" s="182">
        <v>77.22</v>
      </c>
      <c r="L217" s="183">
        <v>3245500</v>
      </c>
      <c r="M217" s="184">
        <v>4969000</v>
      </c>
      <c r="N217" s="184">
        <v>119</v>
      </c>
      <c r="O217" s="184">
        <v>49</v>
      </c>
      <c r="P217" s="181">
        <v>4.41</v>
      </c>
      <c r="Q217" s="184">
        <v>41756</v>
      </c>
      <c r="R217" s="184">
        <v>184037</v>
      </c>
      <c r="S217" s="184">
        <v>215691</v>
      </c>
      <c r="T217" s="184">
        <v>129820</v>
      </c>
      <c r="U217" s="184">
        <v>200476</v>
      </c>
      <c r="V217" s="182">
        <v>1.53</v>
      </c>
      <c r="W217" s="183">
        <v>27</v>
      </c>
      <c r="X217" s="185">
        <v>25</v>
      </c>
      <c r="Y217" s="183">
        <v>250877150</v>
      </c>
      <c r="Z217" s="179" t="s">
        <v>270</v>
      </c>
      <c r="AA217" s="183">
        <v>2241700</v>
      </c>
      <c r="AB217" s="184">
        <v>3865000</v>
      </c>
      <c r="AC217" s="184">
        <v>6145350</v>
      </c>
      <c r="AD217" s="184">
        <v>811650</v>
      </c>
      <c r="AE217" s="184">
        <v>4174200</v>
      </c>
      <c r="AF217" s="177" t="s">
        <v>200</v>
      </c>
      <c r="AG217" s="184">
        <v>2164400</v>
      </c>
      <c r="AH217" s="184">
        <v>1893850</v>
      </c>
      <c r="AI217" s="184">
        <v>8425700</v>
      </c>
      <c r="AJ217" s="184">
        <v>19209050</v>
      </c>
      <c r="AK217" s="184">
        <v>3014700</v>
      </c>
      <c r="AL217" s="184">
        <v>11401750</v>
      </c>
      <c r="AM217" s="184">
        <v>850300</v>
      </c>
      <c r="AN217" s="184">
        <v>3246600</v>
      </c>
      <c r="AO217" s="184">
        <v>927600</v>
      </c>
      <c r="AP217" s="184">
        <v>19286350</v>
      </c>
      <c r="AQ217" s="184">
        <v>38650</v>
      </c>
      <c r="AR217" s="184">
        <v>19209050</v>
      </c>
      <c r="AS217" s="184">
        <v>28291800</v>
      </c>
      <c r="AT217" s="184">
        <v>0</v>
      </c>
      <c r="AU217" s="184">
        <v>618400</v>
      </c>
      <c r="AV217" s="184">
        <v>0</v>
      </c>
      <c r="AW217" s="184">
        <v>463800</v>
      </c>
      <c r="AX217" s="184">
        <v>48080600</v>
      </c>
      <c r="AY217" s="184">
        <v>386500</v>
      </c>
      <c r="AZ217" s="184">
        <v>18861200</v>
      </c>
      <c r="BA217" s="184">
        <v>6802400</v>
      </c>
      <c r="BB217" s="184">
        <v>1468700</v>
      </c>
      <c r="BC217" s="177" t="s">
        <v>200</v>
      </c>
      <c r="BD217" s="184">
        <v>4019600</v>
      </c>
      <c r="BE217" s="184">
        <v>3439850</v>
      </c>
      <c r="BF217" s="184">
        <v>1352750</v>
      </c>
      <c r="BG217" s="184">
        <v>27209600</v>
      </c>
      <c r="BH217" s="184">
        <v>966250</v>
      </c>
      <c r="BI217" s="184">
        <v>2009800</v>
      </c>
      <c r="BJ217" s="187" t="s">
        <v>200</v>
      </c>
    </row>
    <row r="218" spans="2:62" x14ac:dyDescent="0.2">
      <c r="B218" s="175">
        <v>45677</v>
      </c>
      <c r="C218" s="176">
        <v>45677.458566145833</v>
      </c>
      <c r="D218" s="177" t="s">
        <v>267</v>
      </c>
      <c r="E218" s="178" t="s">
        <v>268</v>
      </c>
      <c r="F218" s="179" t="s">
        <v>269</v>
      </c>
      <c r="G218" s="180">
        <v>76.400000000000006</v>
      </c>
      <c r="H218" s="181">
        <v>64</v>
      </c>
      <c r="I218" s="181">
        <v>120</v>
      </c>
      <c r="J218" s="181">
        <v>76.84</v>
      </c>
      <c r="K218" s="182">
        <v>76.42</v>
      </c>
      <c r="L218" s="183">
        <v>3245500</v>
      </c>
      <c r="M218" s="184">
        <v>4825500</v>
      </c>
      <c r="N218" s="184">
        <v>104</v>
      </c>
      <c r="O218" s="184">
        <v>54</v>
      </c>
      <c r="P218" s="181">
        <v>4.33</v>
      </c>
      <c r="Q218" s="184">
        <v>46399</v>
      </c>
      <c r="R218" s="184">
        <v>201063</v>
      </c>
      <c r="S218" s="184">
        <v>219945</v>
      </c>
      <c r="T218" s="184">
        <v>141109</v>
      </c>
      <c r="U218" s="184">
        <v>191106</v>
      </c>
      <c r="V218" s="182">
        <v>1.49</v>
      </c>
      <c r="W218" s="183">
        <v>24</v>
      </c>
      <c r="X218" s="185">
        <v>23</v>
      </c>
      <c r="Y218" s="183">
        <v>247956200</v>
      </c>
      <c r="Z218" s="179" t="s">
        <v>270</v>
      </c>
      <c r="AA218" s="183">
        <v>2215600</v>
      </c>
      <c r="AB218" s="184">
        <v>3820000</v>
      </c>
      <c r="AC218" s="184">
        <v>6073800</v>
      </c>
      <c r="AD218" s="184">
        <v>802200</v>
      </c>
      <c r="AE218" s="184">
        <v>4125600</v>
      </c>
      <c r="AF218" s="177" t="s">
        <v>200</v>
      </c>
      <c r="AG218" s="184">
        <v>2139200</v>
      </c>
      <c r="AH218" s="184">
        <v>1871800</v>
      </c>
      <c r="AI218" s="184">
        <v>8327600</v>
      </c>
      <c r="AJ218" s="184">
        <v>18985400</v>
      </c>
      <c r="AK218" s="184">
        <v>2979600</v>
      </c>
      <c r="AL218" s="184">
        <v>11269000</v>
      </c>
      <c r="AM218" s="184">
        <v>840400</v>
      </c>
      <c r="AN218" s="184">
        <v>3208800</v>
      </c>
      <c r="AO218" s="184">
        <v>916800</v>
      </c>
      <c r="AP218" s="184">
        <v>19061800</v>
      </c>
      <c r="AQ218" s="184">
        <v>38200</v>
      </c>
      <c r="AR218" s="184">
        <v>18985400</v>
      </c>
      <c r="AS218" s="184">
        <v>27962400</v>
      </c>
      <c r="AT218" s="184">
        <v>0</v>
      </c>
      <c r="AU218" s="184">
        <v>611200</v>
      </c>
      <c r="AV218" s="184">
        <v>0</v>
      </c>
      <c r="AW218" s="184">
        <v>458400</v>
      </c>
      <c r="AX218" s="184">
        <v>47520800</v>
      </c>
      <c r="AY218" s="184">
        <v>382000</v>
      </c>
      <c r="AZ218" s="184">
        <v>18641600</v>
      </c>
      <c r="BA218" s="184">
        <v>6723200</v>
      </c>
      <c r="BB218" s="184">
        <v>1451600</v>
      </c>
      <c r="BC218" s="177" t="s">
        <v>200</v>
      </c>
      <c r="BD218" s="184">
        <v>3972800</v>
      </c>
      <c r="BE218" s="184">
        <v>3399800</v>
      </c>
      <c r="BF218" s="184">
        <v>1337000</v>
      </c>
      <c r="BG218" s="184">
        <v>26892800</v>
      </c>
      <c r="BH218" s="184">
        <v>955000</v>
      </c>
      <c r="BI218" s="184">
        <v>1986400</v>
      </c>
      <c r="BJ218" s="187" t="s">
        <v>200</v>
      </c>
    </row>
    <row r="219" spans="2:62" x14ac:dyDescent="0.2">
      <c r="B219" s="175">
        <v>45674</v>
      </c>
      <c r="C219" s="176">
        <v>45674.458705277779</v>
      </c>
      <c r="D219" s="177" t="s">
        <v>271</v>
      </c>
      <c r="E219" s="178" t="s">
        <v>268</v>
      </c>
      <c r="F219" s="179" t="s">
        <v>269</v>
      </c>
      <c r="G219" s="180">
        <v>77.3</v>
      </c>
      <c r="H219" s="181">
        <v>64</v>
      </c>
      <c r="I219" s="181">
        <v>120</v>
      </c>
      <c r="J219" s="181">
        <v>77.66</v>
      </c>
      <c r="K219" s="182">
        <v>77.260000000000005</v>
      </c>
      <c r="L219" s="183">
        <v>1607000</v>
      </c>
      <c r="M219" s="184">
        <v>3182500</v>
      </c>
      <c r="N219" s="184">
        <v>89</v>
      </c>
      <c r="O219" s="184">
        <v>39</v>
      </c>
      <c r="P219" s="181">
        <v>4.05</v>
      </c>
      <c r="Q219" s="184">
        <v>35758</v>
      </c>
      <c r="R219" s="184">
        <v>144659</v>
      </c>
      <c r="S219" s="184">
        <v>151862</v>
      </c>
      <c r="T219" s="184">
        <v>80350</v>
      </c>
      <c r="U219" s="184">
        <v>116952</v>
      </c>
      <c r="V219" s="182">
        <v>1.98</v>
      </c>
      <c r="W219" s="183">
        <v>22</v>
      </c>
      <c r="X219" s="185">
        <v>20</v>
      </c>
      <c r="Y219" s="183">
        <v>124221100</v>
      </c>
      <c r="Z219" s="179" t="s">
        <v>272</v>
      </c>
      <c r="AA219" s="186" t="s">
        <v>200</v>
      </c>
      <c r="AB219" s="177" t="s">
        <v>200</v>
      </c>
      <c r="AC219" s="177" t="s">
        <v>200</v>
      </c>
      <c r="AD219" s="177" t="s">
        <v>200</v>
      </c>
      <c r="AE219" s="177" t="s">
        <v>200</v>
      </c>
      <c r="AF219" s="184">
        <v>124221100</v>
      </c>
      <c r="AG219" s="177" t="s">
        <v>200</v>
      </c>
      <c r="AH219" s="177" t="s">
        <v>200</v>
      </c>
      <c r="AI219" s="177" t="s">
        <v>200</v>
      </c>
      <c r="AJ219" s="177" t="s">
        <v>200</v>
      </c>
      <c r="AK219" s="177" t="s">
        <v>200</v>
      </c>
      <c r="AL219" s="177" t="s">
        <v>200</v>
      </c>
      <c r="AM219" s="177" t="s">
        <v>200</v>
      </c>
      <c r="AN219" s="177" t="s">
        <v>200</v>
      </c>
      <c r="AO219" s="177" t="s">
        <v>200</v>
      </c>
      <c r="AP219" s="177" t="s">
        <v>200</v>
      </c>
      <c r="AQ219" s="177" t="s">
        <v>200</v>
      </c>
      <c r="AR219" s="177" t="s">
        <v>200</v>
      </c>
      <c r="AS219" s="177" t="s">
        <v>200</v>
      </c>
      <c r="AT219" s="177" t="s">
        <v>200</v>
      </c>
      <c r="AU219" s="177" t="s">
        <v>200</v>
      </c>
      <c r="AV219" s="177" t="s">
        <v>200</v>
      </c>
      <c r="AW219" s="177" t="s">
        <v>200</v>
      </c>
      <c r="AX219" s="177" t="s">
        <v>200</v>
      </c>
      <c r="AY219" s="177" t="s">
        <v>200</v>
      </c>
      <c r="AZ219" s="177" t="s">
        <v>200</v>
      </c>
      <c r="BA219" s="177" t="s">
        <v>200</v>
      </c>
      <c r="BB219" s="177" t="s">
        <v>200</v>
      </c>
      <c r="BC219" s="177" t="s">
        <v>200</v>
      </c>
      <c r="BD219" s="177" t="s">
        <v>200</v>
      </c>
      <c r="BE219" s="177" t="s">
        <v>200</v>
      </c>
      <c r="BF219" s="177" t="s">
        <v>200</v>
      </c>
      <c r="BG219" s="177" t="s">
        <v>200</v>
      </c>
      <c r="BH219" s="177" t="s">
        <v>200</v>
      </c>
      <c r="BI219" s="177" t="s">
        <v>200</v>
      </c>
      <c r="BJ219" s="187" t="s">
        <v>200</v>
      </c>
    </row>
    <row r="220" spans="2:62" x14ac:dyDescent="0.2">
      <c r="B220" s="175">
        <v>45673</v>
      </c>
      <c r="C220" s="176">
        <v>45673.458644849539</v>
      </c>
      <c r="D220" s="177" t="s">
        <v>267</v>
      </c>
      <c r="E220" s="178" t="s">
        <v>268</v>
      </c>
      <c r="F220" s="179" t="s">
        <v>269</v>
      </c>
      <c r="G220" s="180">
        <v>75.7</v>
      </c>
      <c r="H220" s="181">
        <v>64</v>
      </c>
      <c r="I220" s="181">
        <v>120</v>
      </c>
      <c r="J220" s="181">
        <v>75.92</v>
      </c>
      <c r="K220" s="182">
        <v>75.459999999999994</v>
      </c>
      <c r="L220" s="183">
        <v>3245500</v>
      </c>
      <c r="M220" s="184">
        <v>5286000</v>
      </c>
      <c r="N220" s="184">
        <v>114</v>
      </c>
      <c r="O220" s="184">
        <v>32</v>
      </c>
      <c r="P220" s="181">
        <v>4.5599999999999996</v>
      </c>
      <c r="Q220" s="184">
        <v>46368</v>
      </c>
      <c r="R220" s="184">
        <v>211440</v>
      </c>
      <c r="S220" s="184">
        <v>251126</v>
      </c>
      <c r="T220" s="184">
        <v>170816</v>
      </c>
      <c r="U220" s="184">
        <v>257117</v>
      </c>
      <c r="V220" s="182">
        <v>1.63</v>
      </c>
      <c r="W220" s="183">
        <v>25</v>
      </c>
      <c r="X220" s="185">
        <v>19</v>
      </c>
      <c r="Y220" s="183">
        <v>245684350</v>
      </c>
      <c r="Z220" s="179" t="s">
        <v>270</v>
      </c>
      <c r="AA220" s="183">
        <v>2195300</v>
      </c>
      <c r="AB220" s="184">
        <v>3785000</v>
      </c>
      <c r="AC220" s="184">
        <v>6018150</v>
      </c>
      <c r="AD220" s="184">
        <v>794850</v>
      </c>
      <c r="AE220" s="184">
        <v>4087800</v>
      </c>
      <c r="AF220" s="177" t="s">
        <v>200</v>
      </c>
      <c r="AG220" s="184">
        <v>2119600</v>
      </c>
      <c r="AH220" s="184">
        <v>1854650</v>
      </c>
      <c r="AI220" s="184">
        <v>8251300</v>
      </c>
      <c r="AJ220" s="184">
        <v>18811450</v>
      </c>
      <c r="AK220" s="184">
        <v>2952300</v>
      </c>
      <c r="AL220" s="184">
        <v>11165750</v>
      </c>
      <c r="AM220" s="184">
        <v>832700</v>
      </c>
      <c r="AN220" s="184">
        <v>3179400</v>
      </c>
      <c r="AO220" s="184">
        <v>908400</v>
      </c>
      <c r="AP220" s="184">
        <v>18887150</v>
      </c>
      <c r="AQ220" s="184">
        <v>37850</v>
      </c>
      <c r="AR220" s="184">
        <v>18811450</v>
      </c>
      <c r="AS220" s="184">
        <v>27706200</v>
      </c>
      <c r="AT220" s="184">
        <v>0</v>
      </c>
      <c r="AU220" s="184">
        <v>605600</v>
      </c>
      <c r="AV220" s="184">
        <v>0</v>
      </c>
      <c r="AW220" s="184">
        <v>454200</v>
      </c>
      <c r="AX220" s="184">
        <v>47085400</v>
      </c>
      <c r="AY220" s="184">
        <v>378500</v>
      </c>
      <c r="AZ220" s="184">
        <v>18470800</v>
      </c>
      <c r="BA220" s="184">
        <v>6661600</v>
      </c>
      <c r="BB220" s="184">
        <v>1438300</v>
      </c>
      <c r="BC220" s="177" t="s">
        <v>200</v>
      </c>
      <c r="BD220" s="184">
        <v>3936400</v>
      </c>
      <c r="BE220" s="184">
        <v>3368650</v>
      </c>
      <c r="BF220" s="184">
        <v>1324750</v>
      </c>
      <c r="BG220" s="184">
        <v>26646400</v>
      </c>
      <c r="BH220" s="184">
        <v>946250</v>
      </c>
      <c r="BI220" s="184">
        <v>1968200</v>
      </c>
      <c r="BJ220" s="187" t="s">
        <v>200</v>
      </c>
    </row>
    <row r="221" spans="2:62" x14ac:dyDescent="0.2">
      <c r="B221" s="175">
        <v>45671</v>
      </c>
      <c r="C221" s="176">
        <v>45671.458622812497</v>
      </c>
      <c r="D221" s="177" t="s">
        <v>267</v>
      </c>
      <c r="E221" s="178" t="s">
        <v>268</v>
      </c>
      <c r="F221" s="179" t="s">
        <v>269</v>
      </c>
      <c r="G221" s="180">
        <v>74.45</v>
      </c>
      <c r="H221" s="181">
        <v>64</v>
      </c>
      <c r="I221" s="181">
        <v>120</v>
      </c>
      <c r="J221" s="181">
        <v>75.52</v>
      </c>
      <c r="K221" s="182">
        <v>74.36</v>
      </c>
      <c r="L221" s="183">
        <v>3245500</v>
      </c>
      <c r="M221" s="184">
        <v>5002500</v>
      </c>
      <c r="N221" s="184">
        <v>121</v>
      </c>
      <c r="O221" s="184">
        <v>47</v>
      </c>
      <c r="P221" s="181">
        <v>4.17</v>
      </c>
      <c r="Q221" s="184">
        <v>41343</v>
      </c>
      <c r="R221" s="184">
        <v>172500</v>
      </c>
      <c r="S221" s="184">
        <v>187855</v>
      </c>
      <c r="T221" s="184">
        <v>135229</v>
      </c>
      <c r="U221" s="184">
        <v>167490</v>
      </c>
      <c r="V221" s="182">
        <v>1.54</v>
      </c>
      <c r="W221" s="183">
        <v>29</v>
      </c>
      <c r="X221" s="185">
        <v>24</v>
      </c>
      <c r="Y221" s="183">
        <v>241627475</v>
      </c>
      <c r="Z221" s="179" t="s">
        <v>270</v>
      </c>
      <c r="AA221" s="183">
        <v>2159050</v>
      </c>
      <c r="AB221" s="184">
        <v>3722500</v>
      </c>
      <c r="AC221" s="184">
        <v>5918775</v>
      </c>
      <c r="AD221" s="184">
        <v>781725</v>
      </c>
      <c r="AE221" s="184">
        <v>4020300</v>
      </c>
      <c r="AF221" s="177" t="s">
        <v>200</v>
      </c>
      <c r="AG221" s="184">
        <v>2084600</v>
      </c>
      <c r="AH221" s="184">
        <v>1824025</v>
      </c>
      <c r="AI221" s="184">
        <v>8115050</v>
      </c>
      <c r="AJ221" s="184">
        <v>18500825</v>
      </c>
      <c r="AK221" s="184">
        <v>2903550</v>
      </c>
      <c r="AL221" s="184">
        <v>10981375</v>
      </c>
      <c r="AM221" s="184">
        <v>818950</v>
      </c>
      <c r="AN221" s="184">
        <v>3126900</v>
      </c>
      <c r="AO221" s="184">
        <v>893400</v>
      </c>
      <c r="AP221" s="184">
        <v>18575275</v>
      </c>
      <c r="AQ221" s="184">
        <v>37225</v>
      </c>
      <c r="AR221" s="184">
        <v>18500825</v>
      </c>
      <c r="AS221" s="184">
        <v>27248700</v>
      </c>
      <c r="AT221" s="184">
        <v>0</v>
      </c>
      <c r="AU221" s="184">
        <v>595600</v>
      </c>
      <c r="AV221" s="184">
        <v>0</v>
      </c>
      <c r="AW221" s="184">
        <v>446700</v>
      </c>
      <c r="AX221" s="184">
        <v>46307900</v>
      </c>
      <c r="AY221" s="184">
        <v>372250</v>
      </c>
      <c r="AZ221" s="184">
        <v>18165800</v>
      </c>
      <c r="BA221" s="184">
        <v>6551600</v>
      </c>
      <c r="BB221" s="184">
        <v>1414550</v>
      </c>
      <c r="BC221" s="177" t="s">
        <v>200</v>
      </c>
      <c r="BD221" s="184">
        <v>3871400</v>
      </c>
      <c r="BE221" s="184">
        <v>3313025</v>
      </c>
      <c r="BF221" s="184">
        <v>1302875</v>
      </c>
      <c r="BG221" s="184">
        <v>26206400</v>
      </c>
      <c r="BH221" s="184">
        <v>930625</v>
      </c>
      <c r="BI221" s="184">
        <v>1935700</v>
      </c>
      <c r="BJ221" s="187" t="s">
        <v>200</v>
      </c>
    </row>
    <row r="222" spans="2:62" x14ac:dyDescent="0.2">
      <c r="B222" s="175">
        <v>45670</v>
      </c>
      <c r="C222" s="176">
        <v>45670.458741631941</v>
      </c>
      <c r="D222" s="177" t="s">
        <v>267</v>
      </c>
      <c r="E222" s="178" t="s">
        <v>268</v>
      </c>
      <c r="F222" s="179" t="s">
        <v>269</v>
      </c>
      <c r="G222" s="180">
        <v>74.400000000000006</v>
      </c>
      <c r="H222" s="181">
        <v>64</v>
      </c>
      <c r="I222" s="181">
        <v>120</v>
      </c>
      <c r="J222" s="181">
        <v>74.650000000000006</v>
      </c>
      <c r="K222" s="182">
        <v>74.27</v>
      </c>
      <c r="L222" s="183">
        <v>3245500</v>
      </c>
      <c r="M222" s="184">
        <v>4852000</v>
      </c>
      <c r="N222" s="184">
        <v>108</v>
      </c>
      <c r="O222" s="184">
        <v>36</v>
      </c>
      <c r="P222" s="181">
        <v>3.86</v>
      </c>
      <c r="Q222" s="184">
        <v>44926</v>
      </c>
      <c r="R222" s="184">
        <v>173286</v>
      </c>
      <c r="S222" s="184">
        <v>246683</v>
      </c>
      <c r="T222" s="184">
        <v>141109</v>
      </c>
      <c r="U222" s="184">
        <v>229842</v>
      </c>
      <c r="V222" s="182">
        <v>1.49</v>
      </c>
      <c r="W222" s="183">
        <v>28</v>
      </c>
      <c r="X222" s="185">
        <v>23</v>
      </c>
      <c r="Y222" s="183">
        <v>241465200</v>
      </c>
      <c r="Z222" s="179" t="s">
        <v>270</v>
      </c>
      <c r="AA222" s="183">
        <v>2157600</v>
      </c>
      <c r="AB222" s="184">
        <v>3720000</v>
      </c>
      <c r="AC222" s="184">
        <v>5914800</v>
      </c>
      <c r="AD222" s="184">
        <v>781200</v>
      </c>
      <c r="AE222" s="184">
        <v>4017600</v>
      </c>
      <c r="AF222" s="177" t="s">
        <v>200</v>
      </c>
      <c r="AG222" s="184">
        <v>2083200</v>
      </c>
      <c r="AH222" s="184">
        <v>1822800</v>
      </c>
      <c r="AI222" s="184">
        <v>8109600</v>
      </c>
      <c r="AJ222" s="184">
        <v>18488400</v>
      </c>
      <c r="AK222" s="184">
        <v>2901600</v>
      </c>
      <c r="AL222" s="184">
        <v>10974000</v>
      </c>
      <c r="AM222" s="184">
        <v>818400</v>
      </c>
      <c r="AN222" s="184">
        <v>3124800</v>
      </c>
      <c r="AO222" s="184">
        <v>892800</v>
      </c>
      <c r="AP222" s="184">
        <v>18562800</v>
      </c>
      <c r="AQ222" s="184">
        <v>37200</v>
      </c>
      <c r="AR222" s="184">
        <v>18488400</v>
      </c>
      <c r="AS222" s="184">
        <v>27230400</v>
      </c>
      <c r="AT222" s="184">
        <v>0</v>
      </c>
      <c r="AU222" s="184">
        <v>595200</v>
      </c>
      <c r="AV222" s="184">
        <v>0</v>
      </c>
      <c r="AW222" s="184">
        <v>446400</v>
      </c>
      <c r="AX222" s="184">
        <v>46276800</v>
      </c>
      <c r="AY222" s="184">
        <v>372000</v>
      </c>
      <c r="AZ222" s="184">
        <v>18153600</v>
      </c>
      <c r="BA222" s="184">
        <v>6547200</v>
      </c>
      <c r="BB222" s="184">
        <v>1413600</v>
      </c>
      <c r="BC222" s="177" t="s">
        <v>200</v>
      </c>
      <c r="BD222" s="184">
        <v>3868800</v>
      </c>
      <c r="BE222" s="184">
        <v>3310800</v>
      </c>
      <c r="BF222" s="184">
        <v>1302000</v>
      </c>
      <c r="BG222" s="184">
        <v>26188800</v>
      </c>
      <c r="BH222" s="184">
        <v>930000</v>
      </c>
      <c r="BI222" s="184">
        <v>1934400</v>
      </c>
      <c r="BJ222" s="187" t="s">
        <v>200</v>
      </c>
    </row>
    <row r="223" spans="2:62" x14ac:dyDescent="0.2">
      <c r="B223" s="175">
        <v>45667</v>
      </c>
      <c r="C223" s="176">
        <v>45667.458662847224</v>
      </c>
      <c r="D223" s="177" t="s">
        <v>271</v>
      </c>
      <c r="E223" s="178" t="s">
        <v>268</v>
      </c>
      <c r="F223" s="179" t="s">
        <v>269</v>
      </c>
      <c r="G223" s="180">
        <v>70.63</v>
      </c>
      <c r="H223" s="181">
        <v>63.5</v>
      </c>
      <c r="I223" s="181">
        <v>120</v>
      </c>
      <c r="J223" s="181">
        <v>71.290000000000006</v>
      </c>
      <c r="K223" s="182">
        <v>70.290000000000006</v>
      </c>
      <c r="L223" s="183">
        <v>1607000</v>
      </c>
      <c r="M223" s="184">
        <v>3368000</v>
      </c>
      <c r="N223" s="184">
        <v>90</v>
      </c>
      <c r="O223" s="184">
        <v>21</v>
      </c>
      <c r="P223" s="181">
        <v>3.6</v>
      </c>
      <c r="Q223" s="184">
        <v>37422</v>
      </c>
      <c r="R223" s="184">
        <v>134720</v>
      </c>
      <c r="S223" s="184">
        <v>177897</v>
      </c>
      <c r="T223" s="184">
        <v>107133</v>
      </c>
      <c r="U223" s="184">
        <v>179218</v>
      </c>
      <c r="V223" s="182">
        <v>2.1</v>
      </c>
      <c r="W223" s="183">
        <v>25</v>
      </c>
      <c r="X223" s="185">
        <v>15</v>
      </c>
      <c r="Y223" s="183">
        <v>113502410</v>
      </c>
      <c r="Z223" s="179" t="s">
        <v>272</v>
      </c>
      <c r="AA223" s="186" t="s">
        <v>200</v>
      </c>
      <c r="AB223" s="177" t="s">
        <v>200</v>
      </c>
      <c r="AC223" s="177" t="s">
        <v>200</v>
      </c>
      <c r="AD223" s="177" t="s">
        <v>200</v>
      </c>
      <c r="AE223" s="177" t="s">
        <v>200</v>
      </c>
      <c r="AF223" s="184">
        <v>113502410</v>
      </c>
      <c r="AG223" s="177" t="s">
        <v>200</v>
      </c>
      <c r="AH223" s="177" t="s">
        <v>200</v>
      </c>
      <c r="AI223" s="177" t="s">
        <v>200</v>
      </c>
      <c r="AJ223" s="177" t="s">
        <v>200</v>
      </c>
      <c r="AK223" s="177" t="s">
        <v>200</v>
      </c>
      <c r="AL223" s="177" t="s">
        <v>200</v>
      </c>
      <c r="AM223" s="177" t="s">
        <v>200</v>
      </c>
      <c r="AN223" s="177" t="s">
        <v>200</v>
      </c>
      <c r="AO223" s="177" t="s">
        <v>200</v>
      </c>
      <c r="AP223" s="177" t="s">
        <v>200</v>
      </c>
      <c r="AQ223" s="177" t="s">
        <v>200</v>
      </c>
      <c r="AR223" s="177" t="s">
        <v>200</v>
      </c>
      <c r="AS223" s="177" t="s">
        <v>200</v>
      </c>
      <c r="AT223" s="177" t="s">
        <v>200</v>
      </c>
      <c r="AU223" s="177" t="s">
        <v>200</v>
      </c>
      <c r="AV223" s="177" t="s">
        <v>200</v>
      </c>
      <c r="AW223" s="177" t="s">
        <v>200</v>
      </c>
      <c r="AX223" s="177" t="s">
        <v>200</v>
      </c>
      <c r="AY223" s="177" t="s">
        <v>200</v>
      </c>
      <c r="AZ223" s="177" t="s">
        <v>200</v>
      </c>
      <c r="BA223" s="177" t="s">
        <v>200</v>
      </c>
      <c r="BB223" s="177" t="s">
        <v>200</v>
      </c>
      <c r="BC223" s="177" t="s">
        <v>200</v>
      </c>
      <c r="BD223" s="177" t="s">
        <v>200</v>
      </c>
      <c r="BE223" s="177" t="s">
        <v>200</v>
      </c>
      <c r="BF223" s="177" t="s">
        <v>200</v>
      </c>
      <c r="BG223" s="177" t="s">
        <v>200</v>
      </c>
      <c r="BH223" s="177" t="s">
        <v>200</v>
      </c>
      <c r="BI223" s="177" t="s">
        <v>200</v>
      </c>
      <c r="BJ223" s="187" t="s">
        <v>200</v>
      </c>
    </row>
    <row r="224" spans="2:62" x14ac:dyDescent="0.2">
      <c r="B224" s="175">
        <v>45666</v>
      </c>
      <c r="C224" s="176">
        <v>45666.459088449075</v>
      </c>
      <c r="D224" s="177" t="s">
        <v>267</v>
      </c>
      <c r="E224" s="178" t="s">
        <v>268</v>
      </c>
      <c r="F224" s="179" t="s">
        <v>269</v>
      </c>
      <c r="G224" s="180">
        <v>70.010000000000005</v>
      </c>
      <c r="H224" s="181">
        <v>63.5</v>
      </c>
      <c r="I224" s="181">
        <v>120</v>
      </c>
      <c r="J224" s="181">
        <v>70.94</v>
      </c>
      <c r="K224" s="182">
        <v>69.91</v>
      </c>
      <c r="L224" s="183">
        <v>3245500</v>
      </c>
      <c r="M224" s="184">
        <v>5096500</v>
      </c>
      <c r="N224" s="184">
        <v>105</v>
      </c>
      <c r="O224" s="184">
        <v>39</v>
      </c>
      <c r="P224" s="181">
        <v>4.2</v>
      </c>
      <c r="Q224" s="184">
        <v>48538</v>
      </c>
      <c r="R224" s="184">
        <v>203860</v>
      </c>
      <c r="S224" s="184">
        <v>219941</v>
      </c>
      <c r="T224" s="184">
        <v>162275</v>
      </c>
      <c r="U224" s="184">
        <v>189411</v>
      </c>
      <c r="V224" s="182">
        <v>1.57</v>
      </c>
      <c r="W224" s="183">
        <v>25</v>
      </c>
      <c r="X224" s="185">
        <v>20</v>
      </c>
      <c r="Y224" s="183">
        <v>227217455</v>
      </c>
      <c r="Z224" s="179" t="s">
        <v>270</v>
      </c>
      <c r="AA224" s="183">
        <v>2030290</v>
      </c>
      <c r="AB224" s="184">
        <v>3500500</v>
      </c>
      <c r="AC224" s="184">
        <v>5565795</v>
      </c>
      <c r="AD224" s="184">
        <v>735105</v>
      </c>
      <c r="AE224" s="184">
        <v>3780540</v>
      </c>
      <c r="AF224" s="177" t="s">
        <v>200</v>
      </c>
      <c r="AG224" s="184">
        <v>1960280</v>
      </c>
      <c r="AH224" s="184">
        <v>1715245</v>
      </c>
      <c r="AI224" s="184">
        <v>7631090</v>
      </c>
      <c r="AJ224" s="184">
        <v>17397485</v>
      </c>
      <c r="AK224" s="184">
        <v>2730390</v>
      </c>
      <c r="AL224" s="184">
        <v>10326475</v>
      </c>
      <c r="AM224" s="184">
        <v>770110</v>
      </c>
      <c r="AN224" s="184">
        <v>2940420</v>
      </c>
      <c r="AO224" s="184">
        <v>840120</v>
      </c>
      <c r="AP224" s="184">
        <v>17467495</v>
      </c>
      <c r="AQ224" s="184">
        <v>35005</v>
      </c>
      <c r="AR224" s="184">
        <v>17397485</v>
      </c>
      <c r="AS224" s="184">
        <v>25623660</v>
      </c>
      <c r="AT224" s="184">
        <v>0</v>
      </c>
      <c r="AU224" s="184">
        <v>560080</v>
      </c>
      <c r="AV224" s="184">
        <v>0</v>
      </c>
      <c r="AW224" s="184">
        <v>420060</v>
      </c>
      <c r="AX224" s="184">
        <v>43546220</v>
      </c>
      <c r="AY224" s="184">
        <v>350050</v>
      </c>
      <c r="AZ224" s="184">
        <v>17082440</v>
      </c>
      <c r="BA224" s="184">
        <v>6160880</v>
      </c>
      <c r="BB224" s="184">
        <v>1330190</v>
      </c>
      <c r="BC224" s="177" t="s">
        <v>200</v>
      </c>
      <c r="BD224" s="184">
        <v>3640520</v>
      </c>
      <c r="BE224" s="184">
        <v>3115445</v>
      </c>
      <c r="BF224" s="184">
        <v>1225175</v>
      </c>
      <c r="BG224" s="184">
        <v>24643520</v>
      </c>
      <c r="BH224" s="184">
        <v>875125</v>
      </c>
      <c r="BI224" s="184">
        <v>1820260</v>
      </c>
      <c r="BJ224" s="187" t="s">
        <v>200</v>
      </c>
    </row>
    <row r="225" spans="2:62" x14ac:dyDescent="0.2">
      <c r="B225" s="175">
        <v>45665</v>
      </c>
      <c r="C225" s="176">
        <v>45665.458890196758</v>
      </c>
      <c r="D225" s="177" t="s">
        <v>273</v>
      </c>
      <c r="E225" s="178" t="s">
        <v>268</v>
      </c>
      <c r="F225" s="179" t="s">
        <v>269</v>
      </c>
      <c r="G225" s="180">
        <v>71.5</v>
      </c>
      <c r="H225" s="181">
        <v>60</v>
      </c>
      <c r="I225" s="181">
        <v>120</v>
      </c>
      <c r="J225" s="181">
        <v>71.52</v>
      </c>
      <c r="K225" s="182">
        <v>71.08</v>
      </c>
      <c r="L225" s="183">
        <v>2072500</v>
      </c>
      <c r="M225" s="184">
        <v>4697500</v>
      </c>
      <c r="N225" s="184">
        <v>95</v>
      </c>
      <c r="O225" s="184">
        <v>17</v>
      </c>
      <c r="P225" s="181">
        <v>3.96</v>
      </c>
      <c r="Q225" s="184">
        <v>49447</v>
      </c>
      <c r="R225" s="184">
        <v>195729</v>
      </c>
      <c r="S225" s="184">
        <v>168980</v>
      </c>
      <c r="T225" s="184">
        <v>172708</v>
      </c>
      <c r="U225" s="184">
        <v>172294</v>
      </c>
      <c r="V225" s="182">
        <v>2.27</v>
      </c>
      <c r="W225" s="183">
        <v>24</v>
      </c>
      <c r="X225" s="185">
        <v>12</v>
      </c>
      <c r="Y225" s="183">
        <v>148183750</v>
      </c>
      <c r="Z225" s="179" t="s">
        <v>274</v>
      </c>
      <c r="AA225" s="186" t="s">
        <v>200</v>
      </c>
      <c r="AB225" s="177" t="s">
        <v>200</v>
      </c>
      <c r="AC225" s="177" t="s">
        <v>200</v>
      </c>
      <c r="AD225" s="177" t="s">
        <v>200</v>
      </c>
      <c r="AE225" s="177" t="s">
        <v>200</v>
      </c>
      <c r="AF225" s="177" t="s">
        <v>200</v>
      </c>
      <c r="AG225" s="177" t="s">
        <v>200</v>
      </c>
      <c r="AH225" s="177" t="s">
        <v>200</v>
      </c>
      <c r="AI225" s="177" t="s">
        <v>200</v>
      </c>
      <c r="AJ225" s="177" t="s">
        <v>200</v>
      </c>
      <c r="AK225" s="177" t="s">
        <v>200</v>
      </c>
      <c r="AL225" s="177" t="s">
        <v>200</v>
      </c>
      <c r="AM225" s="177" t="s">
        <v>200</v>
      </c>
      <c r="AN225" s="177" t="s">
        <v>200</v>
      </c>
      <c r="AO225" s="177" t="s">
        <v>200</v>
      </c>
      <c r="AP225" s="177" t="s">
        <v>200</v>
      </c>
      <c r="AQ225" s="177" t="s">
        <v>200</v>
      </c>
      <c r="AR225" s="177" t="s">
        <v>200</v>
      </c>
      <c r="AS225" s="177" t="s">
        <v>200</v>
      </c>
      <c r="AT225" s="177" t="s">
        <v>200</v>
      </c>
      <c r="AU225" s="177" t="s">
        <v>200</v>
      </c>
      <c r="AV225" s="177" t="s">
        <v>200</v>
      </c>
      <c r="AW225" s="177" t="s">
        <v>200</v>
      </c>
      <c r="AX225" s="177" t="s">
        <v>200</v>
      </c>
      <c r="AY225" s="177" t="s">
        <v>200</v>
      </c>
      <c r="AZ225" s="177" t="s">
        <v>200</v>
      </c>
      <c r="BA225" s="177" t="s">
        <v>200</v>
      </c>
      <c r="BB225" s="177" t="s">
        <v>200</v>
      </c>
      <c r="BC225" s="184">
        <v>148183750</v>
      </c>
      <c r="BD225" s="177" t="s">
        <v>200</v>
      </c>
      <c r="BE225" s="177" t="s">
        <v>200</v>
      </c>
      <c r="BF225" s="177" t="s">
        <v>200</v>
      </c>
      <c r="BG225" s="177" t="s">
        <v>200</v>
      </c>
      <c r="BH225" s="177" t="s">
        <v>200</v>
      </c>
      <c r="BI225" s="177" t="s">
        <v>200</v>
      </c>
      <c r="BJ225" s="187" t="s">
        <v>200</v>
      </c>
    </row>
    <row r="226" spans="2:62" ht="17" thickBot="1" x14ac:dyDescent="0.25">
      <c r="B226" s="188">
        <v>45664</v>
      </c>
      <c r="C226" s="189">
        <v>45664.458647384257</v>
      </c>
      <c r="D226" s="190" t="s">
        <v>267</v>
      </c>
      <c r="E226" s="191" t="s">
        <v>268</v>
      </c>
      <c r="F226" s="192" t="s">
        <v>269</v>
      </c>
      <c r="G226" s="193">
        <v>71.02</v>
      </c>
      <c r="H226" s="194">
        <v>68.010000000000005</v>
      </c>
      <c r="I226" s="194">
        <v>120</v>
      </c>
      <c r="J226" s="194">
        <v>73.819999999999993</v>
      </c>
      <c r="K226" s="195">
        <v>71.06</v>
      </c>
      <c r="L226" s="196">
        <v>3245500</v>
      </c>
      <c r="M226" s="197">
        <v>4456500</v>
      </c>
      <c r="N226" s="197">
        <v>94</v>
      </c>
      <c r="O226" s="197">
        <v>53</v>
      </c>
      <c r="P226" s="194">
        <v>3.92</v>
      </c>
      <c r="Q226" s="197">
        <v>47410</v>
      </c>
      <c r="R226" s="197">
        <v>185688</v>
      </c>
      <c r="S226" s="197">
        <v>221808</v>
      </c>
      <c r="T226" s="197">
        <v>147523</v>
      </c>
      <c r="U226" s="197">
        <v>207472</v>
      </c>
      <c r="V226" s="195">
        <v>1.37</v>
      </c>
      <c r="W226" s="196">
        <v>24</v>
      </c>
      <c r="X226" s="198">
        <v>22</v>
      </c>
      <c r="Y226" s="196">
        <v>230495410</v>
      </c>
      <c r="Z226" s="192" t="s">
        <v>270</v>
      </c>
      <c r="AA226" s="196">
        <v>2059580</v>
      </c>
      <c r="AB226" s="197">
        <v>3551000</v>
      </c>
      <c r="AC226" s="197">
        <v>5646090</v>
      </c>
      <c r="AD226" s="197">
        <v>745710</v>
      </c>
      <c r="AE226" s="197">
        <v>3835080</v>
      </c>
      <c r="AF226" s="190" t="s">
        <v>200</v>
      </c>
      <c r="AG226" s="197">
        <v>1988560</v>
      </c>
      <c r="AH226" s="197">
        <v>1739990</v>
      </c>
      <c r="AI226" s="197">
        <v>7741180</v>
      </c>
      <c r="AJ226" s="197">
        <v>17648470</v>
      </c>
      <c r="AK226" s="197">
        <v>2769780</v>
      </c>
      <c r="AL226" s="197">
        <v>10475450</v>
      </c>
      <c r="AM226" s="197">
        <v>781220</v>
      </c>
      <c r="AN226" s="197">
        <v>2982840</v>
      </c>
      <c r="AO226" s="197">
        <v>852240</v>
      </c>
      <c r="AP226" s="197">
        <v>17719490</v>
      </c>
      <c r="AQ226" s="197">
        <v>35510</v>
      </c>
      <c r="AR226" s="197">
        <v>17648470</v>
      </c>
      <c r="AS226" s="197">
        <v>25993320</v>
      </c>
      <c r="AT226" s="197">
        <v>0</v>
      </c>
      <c r="AU226" s="197">
        <v>568160</v>
      </c>
      <c r="AV226" s="197">
        <v>0</v>
      </c>
      <c r="AW226" s="197">
        <v>426120</v>
      </c>
      <c r="AX226" s="197">
        <v>44174440</v>
      </c>
      <c r="AY226" s="197">
        <v>355100</v>
      </c>
      <c r="AZ226" s="197">
        <v>17328880</v>
      </c>
      <c r="BA226" s="197">
        <v>6249760</v>
      </c>
      <c r="BB226" s="197">
        <v>1349380</v>
      </c>
      <c r="BC226" s="190" t="s">
        <v>200</v>
      </c>
      <c r="BD226" s="197">
        <v>3693040</v>
      </c>
      <c r="BE226" s="197">
        <v>3160390</v>
      </c>
      <c r="BF226" s="197">
        <v>1242850</v>
      </c>
      <c r="BG226" s="197">
        <v>24999040</v>
      </c>
      <c r="BH226" s="197">
        <v>887750</v>
      </c>
      <c r="BI226" s="197">
        <v>1846520</v>
      </c>
      <c r="BJ226" s="199" t="s">
        <v>200</v>
      </c>
    </row>
    <row r="227" spans="2:62" ht="17" thickTop="1" x14ac:dyDescent="0.2"/>
  </sheetData>
  <mergeCells count="12">
    <mergeCell ref="B2:D2"/>
    <mergeCell ref="AA12:BJ12"/>
    <mergeCell ref="B10:C10"/>
    <mergeCell ref="D10:J10"/>
    <mergeCell ref="B11:K11"/>
    <mergeCell ref="L11:U11"/>
    <mergeCell ref="V11:BJ11"/>
    <mergeCell ref="B12:F12"/>
    <mergeCell ref="G12:K12"/>
    <mergeCell ref="L12:V12"/>
    <mergeCell ref="W12:X12"/>
    <mergeCell ref="Y12:Z12"/>
  </mergeCells>
  <hyperlinks>
    <hyperlink ref="D7" r:id="rId1" display="https://real-economy-progress.com/eu-ets-carbon-price-to-hit-126-euros-by-2030/" xr:uid="{97839BF4-FC70-E547-BB60-33BB4323C746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DD91-7B5C-9544-90B0-641F0ADA0D9A}">
  <dimension ref="B2:IJ64"/>
  <sheetViews>
    <sheetView workbookViewId="0">
      <selection activeCell="E14" sqref="E14"/>
    </sheetView>
  </sheetViews>
  <sheetFormatPr baseColWidth="10" defaultRowHeight="14" x14ac:dyDescent="0.15"/>
  <cols>
    <col min="1" max="1" width="10.83203125" style="207"/>
    <col min="2" max="2" width="57.1640625" style="207" bestFit="1" customWidth="1"/>
    <col min="3" max="16384" width="10.83203125" style="207"/>
  </cols>
  <sheetData>
    <row r="2" spans="2:244" ht="15" thickBot="1" x14ac:dyDescent="0.2">
      <c r="B2" s="208" t="s">
        <v>72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09"/>
      <c r="AX2" s="209"/>
      <c r="AY2" s="209"/>
      <c r="AZ2" s="209"/>
      <c r="BA2" s="209"/>
      <c r="BB2" s="209"/>
      <c r="BC2" s="209"/>
      <c r="BD2" s="209"/>
      <c r="BE2" s="209"/>
      <c r="BF2" s="209"/>
      <c r="BG2" s="209"/>
      <c r="BH2" s="209"/>
      <c r="BI2" s="209"/>
      <c r="BJ2" s="209"/>
      <c r="BK2" s="209"/>
      <c r="BL2" s="209"/>
      <c r="BM2" s="209"/>
      <c r="BN2" s="209"/>
      <c r="BO2" s="209"/>
      <c r="BP2" s="209"/>
      <c r="BQ2" s="209"/>
      <c r="BR2" s="209"/>
      <c r="BS2" s="209"/>
      <c r="BT2" s="209"/>
      <c r="BU2" s="209"/>
      <c r="BV2" s="209"/>
      <c r="BW2" s="209"/>
      <c r="BX2" s="209"/>
      <c r="BY2" s="209"/>
      <c r="BZ2" s="209"/>
      <c r="CA2" s="209"/>
      <c r="CB2" s="209"/>
      <c r="CC2" s="209"/>
      <c r="CD2" s="209"/>
      <c r="CE2" s="209"/>
      <c r="CF2" s="209"/>
      <c r="CG2" s="209"/>
      <c r="CH2" s="209"/>
      <c r="CI2" s="209"/>
      <c r="CJ2" s="209"/>
      <c r="CK2" s="209"/>
      <c r="CL2" s="209"/>
      <c r="CM2" s="209"/>
      <c r="CN2" s="209"/>
      <c r="CO2" s="209"/>
      <c r="CP2" s="209"/>
      <c r="CQ2" s="209"/>
      <c r="CR2" s="209"/>
      <c r="CS2" s="209"/>
      <c r="CT2" s="209"/>
      <c r="CU2" s="209"/>
      <c r="CV2" s="209"/>
      <c r="CW2" s="209"/>
      <c r="CX2" s="209"/>
      <c r="CY2" s="209"/>
      <c r="CZ2" s="209"/>
      <c r="DA2" s="209"/>
      <c r="DB2" s="209"/>
      <c r="DC2" s="209"/>
      <c r="DD2" s="209"/>
      <c r="DE2" s="209"/>
      <c r="DF2" s="209"/>
      <c r="DG2" s="209"/>
      <c r="DH2" s="209"/>
      <c r="DI2" s="209"/>
      <c r="DJ2" s="209"/>
      <c r="DK2" s="209"/>
      <c r="DL2" s="209"/>
      <c r="DM2" s="209"/>
      <c r="DN2" s="209"/>
      <c r="DO2" s="209"/>
      <c r="DP2" s="209"/>
      <c r="DQ2" s="209"/>
      <c r="DR2" s="209"/>
      <c r="DS2" s="209"/>
      <c r="DT2" s="209"/>
      <c r="DU2" s="209"/>
      <c r="DV2" s="209"/>
      <c r="DW2" s="209"/>
      <c r="DX2" s="209"/>
      <c r="DY2" s="209"/>
      <c r="DZ2" s="209"/>
      <c r="EA2" s="209"/>
      <c r="EB2" s="209"/>
      <c r="EC2" s="209"/>
      <c r="ED2" s="209"/>
      <c r="EE2" s="209"/>
      <c r="EF2" s="209"/>
      <c r="EG2" s="209"/>
      <c r="EH2" s="209"/>
      <c r="EI2" s="209"/>
      <c r="EJ2" s="209"/>
      <c r="EK2" s="209"/>
      <c r="EL2" s="209"/>
      <c r="EM2" s="209"/>
      <c r="EN2" s="209"/>
      <c r="EO2" s="209"/>
      <c r="EP2" s="209"/>
      <c r="EQ2" s="209"/>
      <c r="ER2" s="209"/>
      <c r="ES2" s="209"/>
      <c r="ET2" s="209"/>
      <c r="EU2" s="209"/>
      <c r="EV2" s="209"/>
      <c r="EW2" s="209"/>
      <c r="EX2" s="209"/>
      <c r="EY2" s="209"/>
      <c r="EZ2" s="209"/>
      <c r="FA2" s="209"/>
      <c r="FB2" s="209"/>
      <c r="FC2" s="209"/>
      <c r="FD2" s="209"/>
      <c r="FE2" s="209"/>
      <c r="FF2" s="209"/>
      <c r="FG2" s="209"/>
      <c r="FH2" s="209"/>
      <c r="FI2" s="209"/>
      <c r="FJ2" s="209"/>
      <c r="FK2" s="209"/>
      <c r="FL2" s="209"/>
      <c r="FM2" s="209"/>
      <c r="FN2" s="209"/>
      <c r="FO2" s="209"/>
      <c r="FP2" s="209"/>
      <c r="FQ2" s="209"/>
      <c r="FR2" s="209"/>
      <c r="FS2" s="209"/>
      <c r="FT2" s="209"/>
      <c r="FU2" s="209"/>
      <c r="FV2" s="209"/>
      <c r="FW2" s="209"/>
      <c r="FX2" s="209"/>
      <c r="FY2" s="209"/>
      <c r="FZ2" s="209"/>
      <c r="GA2" s="209"/>
      <c r="GB2" s="209"/>
      <c r="GC2" s="209"/>
      <c r="GD2" s="209"/>
      <c r="GE2" s="209"/>
      <c r="GF2" s="209"/>
      <c r="GG2" s="209"/>
      <c r="GH2" s="209"/>
      <c r="GI2" s="209"/>
      <c r="GJ2" s="209"/>
      <c r="GK2" s="209"/>
      <c r="GL2" s="209"/>
      <c r="GM2" s="209"/>
      <c r="GN2" s="209"/>
      <c r="GO2" s="209"/>
      <c r="GP2" s="209"/>
      <c r="GQ2" s="209"/>
      <c r="GR2" s="209"/>
      <c r="GS2" s="209"/>
      <c r="GT2" s="209"/>
      <c r="GU2" s="209"/>
      <c r="GV2" s="209"/>
      <c r="GW2" s="209"/>
      <c r="GX2" s="209"/>
      <c r="GY2" s="209"/>
      <c r="GZ2" s="209"/>
      <c r="HA2" s="209"/>
      <c r="HB2" s="209"/>
      <c r="HC2" s="209"/>
      <c r="HD2" s="209"/>
      <c r="HE2" s="209"/>
      <c r="HF2" s="209"/>
      <c r="HG2" s="209"/>
      <c r="HH2" s="209"/>
      <c r="HI2" s="209"/>
      <c r="HJ2" s="209"/>
      <c r="HK2" s="209"/>
      <c r="HL2" s="209"/>
      <c r="HM2" s="209"/>
      <c r="HN2" s="209"/>
      <c r="HO2" s="209"/>
      <c r="HP2" s="209"/>
      <c r="HQ2" s="209"/>
      <c r="HR2" s="209"/>
      <c r="HS2" s="209"/>
      <c r="HT2" s="209"/>
      <c r="HU2" s="209"/>
      <c r="HV2" s="209"/>
      <c r="HW2" s="209"/>
      <c r="HX2" s="209"/>
      <c r="HY2" s="209"/>
      <c r="HZ2" s="209"/>
      <c r="IA2" s="209"/>
      <c r="IB2" s="209"/>
      <c r="IC2" s="209"/>
      <c r="ID2" s="209"/>
      <c r="IE2" s="209"/>
      <c r="IF2" s="209"/>
      <c r="IG2" s="209"/>
      <c r="IH2" s="209"/>
      <c r="II2" s="209"/>
      <c r="IJ2" s="209"/>
    </row>
    <row r="3" spans="2:244" x14ac:dyDescent="0.15">
      <c r="D3" s="143" t="s">
        <v>390</v>
      </c>
      <c r="E3" s="143" t="s">
        <v>391</v>
      </c>
      <c r="F3" s="143" t="s">
        <v>392</v>
      </c>
      <c r="G3" s="143" t="s">
        <v>393</v>
      </c>
      <c r="H3" s="143" t="s">
        <v>394</v>
      </c>
      <c r="I3" s="143" t="s">
        <v>395</v>
      </c>
      <c r="J3" s="143" t="s">
        <v>396</v>
      </c>
      <c r="K3" s="143" t="s">
        <v>397</v>
      </c>
      <c r="L3" s="143" t="s">
        <v>398</v>
      </c>
      <c r="M3" s="143" t="s">
        <v>399</v>
      </c>
      <c r="N3" s="143" t="s">
        <v>400</v>
      </c>
      <c r="O3" s="143" t="s">
        <v>401</v>
      </c>
      <c r="P3" s="143" t="s">
        <v>402</v>
      </c>
      <c r="Q3" s="143" t="s">
        <v>403</v>
      </c>
      <c r="R3" s="143" t="s">
        <v>404</v>
      </c>
      <c r="S3" s="143" t="s">
        <v>405</v>
      </c>
      <c r="T3" s="143" t="s">
        <v>406</v>
      </c>
      <c r="U3" s="143" t="s">
        <v>407</v>
      </c>
      <c r="V3" s="143" t="s">
        <v>408</v>
      </c>
      <c r="W3" s="143" t="s">
        <v>409</v>
      </c>
      <c r="X3" s="143" t="s">
        <v>410</v>
      </c>
      <c r="Y3" s="143" t="s">
        <v>411</v>
      </c>
      <c r="Z3" s="143" t="s">
        <v>412</v>
      </c>
      <c r="AA3" s="143" t="s">
        <v>413</v>
      </c>
      <c r="AB3" s="143" t="s">
        <v>414</v>
      </c>
      <c r="AC3" s="143" t="s">
        <v>415</v>
      </c>
      <c r="AD3" s="143" t="s">
        <v>416</v>
      </c>
      <c r="AE3" s="143" t="s">
        <v>417</v>
      </c>
      <c r="AF3" s="143" t="s">
        <v>418</v>
      </c>
      <c r="AG3" s="143" t="s">
        <v>419</v>
      </c>
      <c r="AH3" s="143" t="s">
        <v>420</v>
      </c>
      <c r="AI3" s="143" t="s">
        <v>421</v>
      </c>
      <c r="AJ3" s="143" t="s">
        <v>422</v>
      </c>
      <c r="AK3" s="143" t="s">
        <v>423</v>
      </c>
      <c r="AL3" s="143" t="s">
        <v>424</v>
      </c>
      <c r="AM3" s="143" t="s">
        <v>425</v>
      </c>
      <c r="AN3" s="143" t="s">
        <v>426</v>
      </c>
      <c r="AO3" s="143" t="s">
        <v>427</v>
      </c>
      <c r="AP3" s="143" t="s">
        <v>428</v>
      </c>
      <c r="AQ3" s="143" t="s">
        <v>429</v>
      </c>
      <c r="AR3" s="143" t="s">
        <v>430</v>
      </c>
      <c r="AS3" s="143" t="s">
        <v>431</v>
      </c>
      <c r="AT3" s="143" t="s">
        <v>432</v>
      </c>
      <c r="AU3" s="143" t="s">
        <v>433</v>
      </c>
      <c r="AV3" s="143" t="s">
        <v>434</v>
      </c>
      <c r="AW3" s="143" t="s">
        <v>435</v>
      </c>
      <c r="AX3" s="143" t="s">
        <v>436</v>
      </c>
      <c r="AY3" s="143" t="s">
        <v>437</v>
      </c>
      <c r="AZ3" s="143" t="s">
        <v>438</v>
      </c>
      <c r="BA3" s="143" t="s">
        <v>439</v>
      </c>
      <c r="BB3" s="143" t="s">
        <v>440</v>
      </c>
      <c r="BC3" s="143" t="s">
        <v>441</v>
      </c>
      <c r="BD3" s="143" t="s">
        <v>442</v>
      </c>
      <c r="BE3" s="143" t="s">
        <v>443</v>
      </c>
      <c r="BF3" s="143" t="s">
        <v>444</v>
      </c>
      <c r="BG3" s="143" t="s">
        <v>445</v>
      </c>
      <c r="BH3" s="143" t="s">
        <v>446</v>
      </c>
      <c r="BI3" s="143" t="s">
        <v>447</v>
      </c>
      <c r="BJ3" s="143" t="s">
        <v>448</v>
      </c>
      <c r="BK3" s="143" t="s">
        <v>449</v>
      </c>
      <c r="BL3" s="143" t="s">
        <v>450</v>
      </c>
      <c r="BM3" s="143" t="s">
        <v>451</v>
      </c>
      <c r="BN3" s="143" t="s">
        <v>452</v>
      </c>
      <c r="BO3" s="143" t="s">
        <v>453</v>
      </c>
      <c r="BP3" s="143" t="s">
        <v>454</v>
      </c>
      <c r="BQ3" s="143" t="s">
        <v>455</v>
      </c>
      <c r="BR3" s="143" t="s">
        <v>456</v>
      </c>
      <c r="BS3" s="143" t="s">
        <v>457</v>
      </c>
      <c r="BT3" s="143" t="s">
        <v>458</v>
      </c>
      <c r="BU3" s="143" t="s">
        <v>459</v>
      </c>
      <c r="BV3" s="143" t="s">
        <v>460</v>
      </c>
      <c r="BW3" s="143" t="s">
        <v>461</v>
      </c>
      <c r="BX3" s="143" t="s">
        <v>462</v>
      </c>
      <c r="BY3" s="143" t="s">
        <v>463</v>
      </c>
      <c r="BZ3" s="143" t="s">
        <v>464</v>
      </c>
      <c r="CA3" s="143" t="s">
        <v>465</v>
      </c>
      <c r="CB3" s="143" t="s">
        <v>466</v>
      </c>
      <c r="CC3" s="143" t="s">
        <v>467</v>
      </c>
      <c r="CD3" s="143" t="s">
        <v>468</v>
      </c>
      <c r="CE3" s="143" t="s">
        <v>469</v>
      </c>
      <c r="CF3" s="143" t="s">
        <v>470</v>
      </c>
      <c r="CG3" s="143" t="s">
        <v>471</v>
      </c>
      <c r="CH3" s="143" t="s">
        <v>472</v>
      </c>
      <c r="CI3" s="143" t="s">
        <v>473</v>
      </c>
      <c r="CJ3" s="143" t="s">
        <v>474</v>
      </c>
      <c r="CK3" s="143" t="s">
        <v>475</v>
      </c>
      <c r="CL3" s="143" t="s">
        <v>476</v>
      </c>
      <c r="CM3" s="143" t="s">
        <v>477</v>
      </c>
      <c r="CN3" s="143" t="s">
        <v>478</v>
      </c>
      <c r="CO3" s="143" t="s">
        <v>479</v>
      </c>
      <c r="CP3" s="143" t="s">
        <v>480</v>
      </c>
      <c r="CQ3" s="143" t="s">
        <v>481</v>
      </c>
      <c r="CR3" s="143" t="s">
        <v>482</v>
      </c>
      <c r="CS3" s="143" t="s">
        <v>483</v>
      </c>
      <c r="CT3" s="143" t="s">
        <v>484</v>
      </c>
      <c r="CU3" s="143" t="s">
        <v>485</v>
      </c>
      <c r="CV3" s="143" t="s">
        <v>486</v>
      </c>
      <c r="CW3" s="143" t="s">
        <v>487</v>
      </c>
      <c r="CX3" s="143" t="s">
        <v>488</v>
      </c>
      <c r="CY3" s="143" t="s">
        <v>489</v>
      </c>
      <c r="CZ3" s="143" t="s">
        <v>490</v>
      </c>
      <c r="DA3" s="143" t="s">
        <v>491</v>
      </c>
      <c r="DB3" s="143" t="s">
        <v>492</v>
      </c>
      <c r="DC3" s="143" t="s">
        <v>493</v>
      </c>
      <c r="DD3" s="143" t="s">
        <v>494</v>
      </c>
      <c r="DE3" s="143" t="s">
        <v>495</v>
      </c>
      <c r="DF3" s="143" t="s">
        <v>496</v>
      </c>
      <c r="DG3" s="143" t="s">
        <v>497</v>
      </c>
      <c r="DH3" s="143" t="s">
        <v>498</v>
      </c>
      <c r="DI3" s="143" t="s">
        <v>499</v>
      </c>
      <c r="DJ3" s="143" t="s">
        <v>500</v>
      </c>
      <c r="DK3" s="143" t="s">
        <v>501</v>
      </c>
      <c r="DL3" s="143" t="s">
        <v>502</v>
      </c>
      <c r="DM3" s="143" t="s">
        <v>503</v>
      </c>
      <c r="DN3" s="143" t="s">
        <v>504</v>
      </c>
      <c r="DO3" s="143" t="s">
        <v>505</v>
      </c>
      <c r="DP3" s="143" t="s">
        <v>506</v>
      </c>
      <c r="DQ3" s="143" t="s">
        <v>507</v>
      </c>
      <c r="DR3" s="143" t="s">
        <v>508</v>
      </c>
      <c r="DS3" s="143" t="s">
        <v>509</v>
      </c>
      <c r="DT3" s="143" t="s">
        <v>510</v>
      </c>
      <c r="DU3" s="143" t="s">
        <v>511</v>
      </c>
      <c r="DV3" s="143" t="s">
        <v>512</v>
      </c>
      <c r="DW3" s="143" t="s">
        <v>513</v>
      </c>
      <c r="DX3" s="143" t="s">
        <v>514</v>
      </c>
      <c r="DY3" s="143" t="s">
        <v>515</v>
      </c>
      <c r="DZ3" s="143" t="s">
        <v>516</v>
      </c>
      <c r="EA3" s="143" t="s">
        <v>517</v>
      </c>
      <c r="EB3" s="143" t="s">
        <v>518</v>
      </c>
      <c r="EC3" s="143" t="s">
        <v>519</v>
      </c>
      <c r="ED3" s="143" t="s">
        <v>520</v>
      </c>
      <c r="EE3" s="143" t="s">
        <v>521</v>
      </c>
      <c r="EF3" s="143" t="s">
        <v>522</v>
      </c>
      <c r="EG3" s="143" t="s">
        <v>523</v>
      </c>
      <c r="EH3" s="143" t="s">
        <v>524</v>
      </c>
      <c r="EI3" s="143" t="s">
        <v>525</v>
      </c>
      <c r="EJ3" s="143" t="s">
        <v>526</v>
      </c>
      <c r="EK3" s="143" t="s">
        <v>527</v>
      </c>
      <c r="EL3" s="143" t="s">
        <v>528</v>
      </c>
      <c r="EM3" s="143" t="s">
        <v>529</v>
      </c>
      <c r="EN3" s="143" t="s">
        <v>530</v>
      </c>
      <c r="EO3" s="143" t="s">
        <v>531</v>
      </c>
      <c r="EP3" s="143" t="s">
        <v>532</v>
      </c>
      <c r="EQ3" s="143" t="s">
        <v>533</v>
      </c>
      <c r="ER3" s="143" t="s">
        <v>534</v>
      </c>
      <c r="ES3" s="143" t="s">
        <v>535</v>
      </c>
      <c r="ET3" s="143" t="s">
        <v>536</v>
      </c>
      <c r="EU3" s="143" t="s">
        <v>537</v>
      </c>
      <c r="EV3" s="143" t="s">
        <v>538</v>
      </c>
      <c r="EW3" s="143" t="s">
        <v>539</v>
      </c>
      <c r="EX3" s="143" t="s">
        <v>540</v>
      </c>
      <c r="EY3" s="143" t="s">
        <v>541</v>
      </c>
      <c r="EZ3" s="143" t="s">
        <v>542</v>
      </c>
      <c r="FA3" s="143" t="s">
        <v>543</v>
      </c>
      <c r="FB3" s="143" t="s">
        <v>544</v>
      </c>
      <c r="FC3" s="143" t="s">
        <v>545</v>
      </c>
      <c r="FD3" s="143" t="s">
        <v>546</v>
      </c>
      <c r="FE3" s="143" t="s">
        <v>547</v>
      </c>
      <c r="FF3" s="143" t="s">
        <v>548</v>
      </c>
      <c r="FG3" s="143" t="s">
        <v>549</v>
      </c>
      <c r="FH3" s="143" t="s">
        <v>550</v>
      </c>
      <c r="FI3" s="143" t="s">
        <v>551</v>
      </c>
      <c r="FJ3" s="143" t="s">
        <v>552</v>
      </c>
      <c r="FK3" s="143" t="s">
        <v>553</v>
      </c>
      <c r="FL3" s="143" t="s">
        <v>554</v>
      </c>
      <c r="FM3" s="143" t="s">
        <v>555</v>
      </c>
      <c r="FN3" s="143" t="s">
        <v>556</v>
      </c>
      <c r="FO3" s="143" t="s">
        <v>557</v>
      </c>
      <c r="FP3" s="143" t="s">
        <v>558</v>
      </c>
      <c r="FQ3" s="143" t="s">
        <v>559</v>
      </c>
      <c r="FR3" s="143" t="s">
        <v>560</v>
      </c>
      <c r="FS3" s="143" t="s">
        <v>561</v>
      </c>
      <c r="FT3" s="143" t="s">
        <v>562</v>
      </c>
      <c r="FU3" s="143" t="s">
        <v>563</v>
      </c>
      <c r="FV3" s="143" t="s">
        <v>564</v>
      </c>
      <c r="FW3" s="143" t="s">
        <v>565</v>
      </c>
      <c r="FX3" s="143" t="s">
        <v>566</v>
      </c>
      <c r="FY3" s="143" t="s">
        <v>567</v>
      </c>
      <c r="FZ3" s="143" t="s">
        <v>568</v>
      </c>
      <c r="GA3" s="143" t="s">
        <v>569</v>
      </c>
      <c r="GB3" s="143" t="s">
        <v>570</v>
      </c>
      <c r="GC3" s="143" t="s">
        <v>571</v>
      </c>
      <c r="GD3" s="143" t="s">
        <v>572</v>
      </c>
      <c r="GE3" s="143" t="s">
        <v>573</v>
      </c>
      <c r="GF3" s="143" t="s">
        <v>574</v>
      </c>
      <c r="GG3" s="143" t="s">
        <v>575</v>
      </c>
      <c r="GH3" s="143" t="s">
        <v>576</v>
      </c>
      <c r="GI3" s="143" t="s">
        <v>577</v>
      </c>
      <c r="GJ3" s="143" t="s">
        <v>578</v>
      </c>
      <c r="GK3" s="143" t="s">
        <v>579</v>
      </c>
      <c r="GL3" s="143" t="s">
        <v>580</v>
      </c>
      <c r="GM3" s="143" t="s">
        <v>581</v>
      </c>
      <c r="GN3" s="143" t="s">
        <v>582</v>
      </c>
      <c r="GO3" s="143" t="s">
        <v>583</v>
      </c>
      <c r="GP3" s="143" t="s">
        <v>584</v>
      </c>
      <c r="GQ3" s="143" t="s">
        <v>585</v>
      </c>
      <c r="GR3" s="143" t="s">
        <v>586</v>
      </c>
      <c r="GS3" s="143" t="s">
        <v>587</v>
      </c>
      <c r="GT3" s="143" t="s">
        <v>588</v>
      </c>
      <c r="GU3" s="143" t="s">
        <v>589</v>
      </c>
      <c r="GV3" s="143" t="s">
        <v>590</v>
      </c>
      <c r="GW3" s="143" t="s">
        <v>591</v>
      </c>
      <c r="GX3" s="143" t="s">
        <v>592</v>
      </c>
      <c r="GY3" s="143" t="s">
        <v>593</v>
      </c>
      <c r="GZ3" s="143" t="s">
        <v>594</v>
      </c>
      <c r="HA3" s="143" t="s">
        <v>595</v>
      </c>
      <c r="HB3" s="143" t="s">
        <v>596</v>
      </c>
      <c r="HC3" s="143" t="s">
        <v>597</v>
      </c>
      <c r="HD3" s="143" t="s">
        <v>598</v>
      </c>
      <c r="HE3" s="143" t="s">
        <v>599</v>
      </c>
      <c r="HF3" s="143" t="s">
        <v>600</v>
      </c>
      <c r="HG3" s="143" t="s">
        <v>601</v>
      </c>
      <c r="HH3" s="143" t="s">
        <v>602</v>
      </c>
      <c r="HI3" s="143" t="s">
        <v>603</v>
      </c>
      <c r="HJ3" s="143" t="s">
        <v>604</v>
      </c>
      <c r="HK3" s="143" t="s">
        <v>605</v>
      </c>
      <c r="HL3" s="143" t="s">
        <v>606</v>
      </c>
      <c r="HM3" s="143" t="s">
        <v>607</v>
      </c>
      <c r="HN3" s="143" t="s">
        <v>608</v>
      </c>
      <c r="HO3" s="143" t="s">
        <v>609</v>
      </c>
      <c r="HP3" s="143" t="s">
        <v>610</v>
      </c>
      <c r="HQ3" s="143" t="s">
        <v>611</v>
      </c>
      <c r="HR3" s="143" t="s">
        <v>612</v>
      </c>
      <c r="HS3" s="143" t="s">
        <v>613</v>
      </c>
      <c r="HT3" s="143" t="s">
        <v>614</v>
      </c>
      <c r="HU3" s="143" t="s">
        <v>615</v>
      </c>
      <c r="HV3" s="143" t="s">
        <v>616</v>
      </c>
      <c r="HW3" s="143" t="s">
        <v>617</v>
      </c>
      <c r="HX3" s="143" t="s">
        <v>618</v>
      </c>
      <c r="HY3" s="143" t="s">
        <v>619</v>
      </c>
      <c r="HZ3" s="143" t="s">
        <v>620</v>
      </c>
      <c r="IA3" s="143" t="s">
        <v>621</v>
      </c>
      <c r="IB3" s="143" t="s">
        <v>622</v>
      </c>
      <c r="IC3" s="143" t="s">
        <v>623</v>
      </c>
      <c r="ID3" s="143" t="s">
        <v>624</v>
      </c>
      <c r="IE3" s="143" t="s">
        <v>625</v>
      </c>
      <c r="IF3" s="143" t="s">
        <v>626</v>
      </c>
      <c r="IG3" s="143" t="s">
        <v>627</v>
      </c>
      <c r="IH3" s="143" t="s">
        <v>628</v>
      </c>
      <c r="II3" s="143" t="s">
        <v>629</v>
      </c>
      <c r="IJ3" s="143" t="s">
        <v>630</v>
      </c>
    </row>
    <row r="4" spans="2:244" x14ac:dyDescent="0.15">
      <c r="B4" s="143" t="s">
        <v>631</v>
      </c>
      <c r="C4" s="143" t="s">
        <v>632</v>
      </c>
      <c r="D4" s="210">
        <v>1.9</v>
      </c>
      <c r="E4" s="210">
        <v>2</v>
      </c>
      <c r="F4" s="210">
        <v>2.1</v>
      </c>
      <c r="G4" s="210">
        <v>2</v>
      </c>
      <c r="H4" s="210">
        <v>2</v>
      </c>
      <c r="I4" s="210">
        <v>1.6</v>
      </c>
      <c r="J4" s="210">
        <v>1.5</v>
      </c>
      <c r="K4" s="210">
        <v>1.8</v>
      </c>
      <c r="L4" s="210">
        <v>1.7</v>
      </c>
      <c r="M4" s="210">
        <v>1.8</v>
      </c>
      <c r="N4" s="210">
        <v>1.9</v>
      </c>
      <c r="O4" s="210">
        <v>2</v>
      </c>
      <c r="P4" s="210">
        <v>1.7</v>
      </c>
      <c r="Q4" s="210">
        <v>1.8</v>
      </c>
      <c r="R4" s="210">
        <v>1.4</v>
      </c>
      <c r="S4" s="210">
        <v>1.2</v>
      </c>
      <c r="T4" s="210">
        <v>1</v>
      </c>
      <c r="U4" s="210">
        <v>1.3</v>
      </c>
      <c r="V4" s="210">
        <v>1.7</v>
      </c>
      <c r="W4" s="210">
        <v>2.4</v>
      </c>
      <c r="X4" s="210">
        <v>2.4</v>
      </c>
      <c r="Y4" s="210">
        <v>2.9</v>
      </c>
      <c r="Z4" s="210">
        <v>3.1</v>
      </c>
      <c r="AA4" s="210">
        <v>3.1</v>
      </c>
      <c r="AB4" s="210">
        <v>3.2</v>
      </c>
      <c r="AC4" s="210">
        <v>3.4</v>
      </c>
      <c r="AD4" s="210">
        <v>3.8</v>
      </c>
      <c r="AE4" s="210">
        <v>4</v>
      </c>
      <c r="AF4" s="210">
        <v>4.4000000000000004</v>
      </c>
      <c r="AG4" s="210">
        <v>4.2</v>
      </c>
      <c r="AH4" s="210">
        <v>3.7</v>
      </c>
      <c r="AI4" s="210">
        <v>2.7</v>
      </c>
      <c r="AJ4" s="210">
        <v>2.4</v>
      </c>
      <c r="AK4" s="210">
        <v>1.8</v>
      </c>
      <c r="AL4" s="210">
        <v>1.9</v>
      </c>
      <c r="AM4" s="210">
        <v>1.7</v>
      </c>
      <c r="AN4" s="210">
        <v>1.3</v>
      </c>
      <c r="AO4" s="210">
        <v>1.3</v>
      </c>
      <c r="AP4" s="210">
        <v>1.2</v>
      </c>
      <c r="AQ4" s="210">
        <v>1</v>
      </c>
      <c r="AR4" s="210">
        <v>1.1000000000000001</v>
      </c>
      <c r="AS4" s="210">
        <v>0.8</v>
      </c>
      <c r="AT4" s="210">
        <v>1</v>
      </c>
      <c r="AU4" s="210">
        <v>1.3</v>
      </c>
      <c r="AV4" s="210">
        <v>1.4</v>
      </c>
      <c r="AW4" s="210">
        <v>2</v>
      </c>
      <c r="AX4" s="210">
        <v>2</v>
      </c>
      <c r="AY4" s="210">
        <v>2.2999999999999998</v>
      </c>
      <c r="AZ4" s="210">
        <v>2.5</v>
      </c>
      <c r="BA4" s="210">
        <v>2.1</v>
      </c>
      <c r="BB4" s="210">
        <v>1.8</v>
      </c>
      <c r="BC4" s="210">
        <v>2.2999999999999998</v>
      </c>
      <c r="BD4" s="210">
        <v>2.4</v>
      </c>
      <c r="BE4" s="210">
        <v>2.6</v>
      </c>
      <c r="BF4" s="210">
        <v>2.4</v>
      </c>
      <c r="BG4" s="210">
        <v>2.5</v>
      </c>
      <c r="BH4" s="210">
        <v>2.8</v>
      </c>
      <c r="BI4" s="210">
        <v>2.7</v>
      </c>
      <c r="BJ4" s="210">
        <v>2.7</v>
      </c>
      <c r="BK4" s="210">
        <v>2.7</v>
      </c>
      <c r="BL4" s="210">
        <v>2.9</v>
      </c>
      <c r="BM4" s="210">
        <v>3.1</v>
      </c>
      <c r="BN4" s="210">
        <v>3</v>
      </c>
      <c r="BO4" s="210">
        <v>3</v>
      </c>
      <c r="BP4" s="210">
        <v>2.6</v>
      </c>
      <c r="BQ4" s="210">
        <v>2.5</v>
      </c>
      <c r="BR4" s="210">
        <v>2.8</v>
      </c>
      <c r="BS4" s="210">
        <v>2.6</v>
      </c>
      <c r="BT4" s="210">
        <v>2.5</v>
      </c>
      <c r="BU4" s="210">
        <v>2.8</v>
      </c>
      <c r="BV4" s="210">
        <v>2.8</v>
      </c>
      <c r="BW4" s="210">
        <v>2.7</v>
      </c>
      <c r="BX4" s="210">
        <v>2.2999999999999998</v>
      </c>
      <c r="BY4" s="210">
        <v>2.2000000000000002</v>
      </c>
      <c r="BZ4" s="210">
        <v>2.2000000000000002</v>
      </c>
      <c r="CA4" s="210">
        <v>2.2999999999999998</v>
      </c>
      <c r="CB4" s="210">
        <v>2.7</v>
      </c>
      <c r="CC4" s="210">
        <v>2.6</v>
      </c>
      <c r="CD4" s="210">
        <v>2.2999999999999998</v>
      </c>
      <c r="CE4" s="210">
        <v>2.2999999999999998</v>
      </c>
      <c r="CF4" s="210">
        <v>2</v>
      </c>
      <c r="CG4" s="210">
        <v>1.2</v>
      </c>
      <c r="CH4" s="210">
        <v>1.2</v>
      </c>
      <c r="CI4" s="210">
        <v>0.9</v>
      </c>
      <c r="CJ4" s="210">
        <v>0.8</v>
      </c>
      <c r="CK4" s="210">
        <v>0.9</v>
      </c>
      <c r="CL4" s="210">
        <v>0.9</v>
      </c>
      <c r="CM4" s="210">
        <v>0.7</v>
      </c>
      <c r="CN4" s="210">
        <v>0.4</v>
      </c>
      <c r="CO4" s="210">
        <v>0.5</v>
      </c>
      <c r="CP4" s="210">
        <v>0.6</v>
      </c>
      <c r="CQ4" s="210">
        <v>0.6</v>
      </c>
      <c r="CR4" s="210">
        <v>0.8</v>
      </c>
      <c r="CS4" s="210">
        <v>1</v>
      </c>
      <c r="CT4" s="210">
        <v>0.5</v>
      </c>
      <c r="CU4" s="210">
        <v>0.4</v>
      </c>
      <c r="CV4" s="210">
        <v>0.7</v>
      </c>
      <c r="CW4" s="210">
        <v>0.5</v>
      </c>
      <c r="CX4" s="210">
        <v>0.6</v>
      </c>
      <c r="CY4" s="210">
        <v>0.7</v>
      </c>
      <c r="CZ4" s="210">
        <v>0.5</v>
      </c>
      <c r="DA4" s="210">
        <v>0.5</v>
      </c>
      <c r="DB4" s="210">
        <v>0.5</v>
      </c>
      <c r="DC4" s="210">
        <v>0.5</v>
      </c>
      <c r="DD4" s="210">
        <v>0.3</v>
      </c>
      <c r="DE4" s="210">
        <v>-0.1</v>
      </c>
      <c r="DF4" s="210">
        <v>0.3</v>
      </c>
      <c r="DG4" s="210">
        <v>0.6</v>
      </c>
      <c r="DH4" s="210">
        <v>0.6</v>
      </c>
      <c r="DI4" s="210">
        <v>0.6</v>
      </c>
      <c r="DJ4" s="210">
        <v>0.6</v>
      </c>
      <c r="DK4" s="210">
        <v>0.7</v>
      </c>
      <c r="DL4" s="210">
        <v>0.6</v>
      </c>
      <c r="DM4" s="210">
        <v>0.5</v>
      </c>
      <c r="DN4" s="210">
        <v>0.4</v>
      </c>
      <c r="DO4" s="210">
        <v>0.3</v>
      </c>
      <c r="DP4" s="210">
        <v>0.5</v>
      </c>
      <c r="DQ4" s="210">
        <v>0.6</v>
      </c>
      <c r="DR4" s="210">
        <v>0.3</v>
      </c>
      <c r="DS4" s="210">
        <v>-0.1</v>
      </c>
      <c r="DT4" s="210">
        <v>0</v>
      </c>
      <c r="DU4" s="210">
        <v>0.2</v>
      </c>
      <c r="DV4" s="210">
        <v>0.3</v>
      </c>
      <c r="DW4" s="210">
        <v>0.3</v>
      </c>
      <c r="DX4" s="210">
        <v>0.3</v>
      </c>
      <c r="DY4" s="210">
        <v>0</v>
      </c>
      <c r="DZ4" s="210">
        <v>0.3</v>
      </c>
      <c r="EA4" s="210">
        <v>0.4</v>
      </c>
      <c r="EB4" s="210">
        <v>0.5</v>
      </c>
      <c r="EC4" s="210">
        <v>0.9</v>
      </c>
      <c r="ED4" s="210">
        <v>1</v>
      </c>
      <c r="EE4" s="210">
        <v>1</v>
      </c>
      <c r="EF4" s="210">
        <v>1.1000000000000001</v>
      </c>
      <c r="EG4" s="210">
        <v>0.8</v>
      </c>
      <c r="EH4" s="210">
        <v>0.6</v>
      </c>
      <c r="EI4" s="210">
        <v>1.5</v>
      </c>
      <c r="EJ4" s="210">
        <v>1.5</v>
      </c>
      <c r="EK4" s="210">
        <v>1.6</v>
      </c>
      <c r="EL4" s="210">
        <v>1.5</v>
      </c>
      <c r="EM4" s="210">
        <v>1.3</v>
      </c>
      <c r="EN4" s="210">
        <v>0.9</v>
      </c>
      <c r="EO4" s="210">
        <v>0.7</v>
      </c>
      <c r="EP4" s="210">
        <v>0.6</v>
      </c>
      <c r="EQ4" s="210">
        <v>0.6</v>
      </c>
      <c r="ER4" s="210">
        <v>0.8</v>
      </c>
      <c r="ES4" s="210">
        <v>1.1000000000000001</v>
      </c>
      <c r="ET4" s="210">
        <v>1.1000000000000001</v>
      </c>
      <c r="EU4" s="210">
        <v>1.1000000000000001</v>
      </c>
      <c r="EV4" s="210">
        <v>1</v>
      </c>
      <c r="EW4" s="210">
        <v>0.6</v>
      </c>
      <c r="EX4" s="210">
        <v>0.8</v>
      </c>
      <c r="EY4" s="210">
        <v>0.8</v>
      </c>
      <c r="EZ4" s="210">
        <v>0.8</v>
      </c>
      <c r="FA4" s="210">
        <v>1.3</v>
      </c>
      <c r="FB4" s="210">
        <v>1</v>
      </c>
      <c r="FC4" s="210">
        <v>1.2</v>
      </c>
      <c r="FD4" s="210">
        <v>0.9</v>
      </c>
      <c r="FE4" s="210">
        <v>0.7</v>
      </c>
      <c r="FF4" s="210">
        <v>0.5</v>
      </c>
      <c r="FG4" s="210">
        <v>0.3</v>
      </c>
      <c r="FH4" s="210">
        <v>0.4</v>
      </c>
      <c r="FI4" s="210">
        <v>0.5</v>
      </c>
      <c r="FJ4" s="210">
        <v>0.5</v>
      </c>
      <c r="FK4" s="210">
        <v>0.7</v>
      </c>
      <c r="FL4" s="210">
        <v>0.8</v>
      </c>
      <c r="FM4" s="210">
        <v>0.7</v>
      </c>
      <c r="FN4" s="210">
        <v>0.8</v>
      </c>
      <c r="FO4" s="210">
        <v>0.4</v>
      </c>
      <c r="FP4" s="210">
        <v>0</v>
      </c>
      <c r="FQ4" s="210">
        <v>-0.1</v>
      </c>
      <c r="FR4" s="210">
        <v>0.3</v>
      </c>
      <c r="FS4" s="210">
        <v>0.5</v>
      </c>
      <c r="FT4" s="210">
        <v>0.5</v>
      </c>
      <c r="FU4" s="210">
        <v>0.5</v>
      </c>
      <c r="FV4" s="210">
        <v>0.4</v>
      </c>
      <c r="FW4" s="210">
        <v>0.5</v>
      </c>
      <c r="FX4" s="210">
        <v>0.5</v>
      </c>
      <c r="FY4" s="210">
        <v>0.5</v>
      </c>
      <c r="FZ4" s="210">
        <v>0.6</v>
      </c>
      <c r="GA4" s="210">
        <v>0.9</v>
      </c>
      <c r="GB4" s="210">
        <v>1.4</v>
      </c>
      <c r="GC4" s="210">
        <v>1.8</v>
      </c>
      <c r="GD4" s="210">
        <v>1.8</v>
      </c>
      <c r="GE4" s="210">
        <v>1.6</v>
      </c>
      <c r="GF4" s="210">
        <v>1.8</v>
      </c>
      <c r="GG4" s="210">
        <v>2.2000000000000002</v>
      </c>
      <c r="GH4" s="210">
        <v>2.9</v>
      </c>
      <c r="GI4" s="210">
        <v>3.4</v>
      </c>
      <c r="GJ4" s="210">
        <v>3.1</v>
      </c>
      <c r="GK4" s="210">
        <v>4.4000000000000004</v>
      </c>
      <c r="GL4" s="210">
        <v>4.8</v>
      </c>
      <c r="GM4" s="210">
        <v>5.4</v>
      </c>
      <c r="GN4" s="210">
        <v>6.7</v>
      </c>
      <c r="GO4" s="210">
        <v>7.4</v>
      </c>
      <c r="GP4" s="210">
        <v>8.1999999999999993</v>
      </c>
      <c r="GQ4" s="210">
        <v>8.6999999999999993</v>
      </c>
      <c r="GR4" s="210">
        <v>8.9</v>
      </c>
      <c r="GS4" s="210">
        <v>10</v>
      </c>
      <c r="GT4" s="210">
        <v>10.199999999999999</v>
      </c>
      <c r="GU4" s="210">
        <v>8.9</v>
      </c>
      <c r="GV4" s="210">
        <v>8.6999999999999993</v>
      </c>
      <c r="GW4" s="210">
        <v>7.7</v>
      </c>
      <c r="GX4" s="210">
        <v>7.6</v>
      </c>
      <c r="GY4" s="210">
        <v>6.8</v>
      </c>
      <c r="GZ4" s="210">
        <v>5.3</v>
      </c>
      <c r="HA4" s="210">
        <v>2.9</v>
      </c>
      <c r="HB4" s="210">
        <v>2.4</v>
      </c>
      <c r="HC4" s="210">
        <v>3.2</v>
      </c>
      <c r="HD4" s="210">
        <v>2.4</v>
      </c>
      <c r="HE4" s="210">
        <v>0.9</v>
      </c>
      <c r="HF4" s="210">
        <v>0</v>
      </c>
      <c r="HG4" s="210">
        <v>0.6</v>
      </c>
      <c r="HH4" s="210">
        <v>0.7</v>
      </c>
      <c r="HI4" s="210">
        <v>1.2</v>
      </c>
      <c r="HJ4" s="210">
        <v>0.8</v>
      </c>
      <c r="HK4" s="210">
        <v>0.9</v>
      </c>
      <c r="HL4" s="210">
        <v>0.7</v>
      </c>
      <c r="HM4" s="210">
        <v>2.1</v>
      </c>
      <c r="HN4" s="210">
        <v>1.8</v>
      </c>
      <c r="HO4" s="210">
        <v>1.1000000000000001</v>
      </c>
      <c r="HP4" s="210">
        <v>1.4</v>
      </c>
      <c r="HQ4" s="210">
        <v>1.3</v>
      </c>
      <c r="HR4" s="210">
        <v>1.6</v>
      </c>
      <c r="HS4" s="210">
        <v>1.7</v>
      </c>
      <c r="HT4" s="210">
        <v>1.9</v>
      </c>
      <c r="HU4" s="210">
        <v>1.5</v>
      </c>
      <c r="HV4" s="210">
        <v>2</v>
      </c>
      <c r="HW4" s="210">
        <v>1.5</v>
      </c>
      <c r="HX4" s="210">
        <v>1.6</v>
      </c>
      <c r="HY4" s="210">
        <v>1.6</v>
      </c>
      <c r="HZ4" s="210">
        <v>1.8</v>
      </c>
      <c r="IA4" s="210">
        <v>2.2000000000000002</v>
      </c>
      <c r="IB4" s="210">
        <v>2</v>
      </c>
      <c r="IC4" s="210">
        <v>2.2000000000000002</v>
      </c>
      <c r="ID4" s="210">
        <v>2.1</v>
      </c>
      <c r="IE4" s="210">
        <v>2.1</v>
      </c>
      <c r="IF4" s="210">
        <v>1.9</v>
      </c>
      <c r="IG4" s="210">
        <v>0.8</v>
      </c>
      <c r="IH4" s="210">
        <v>0.7</v>
      </c>
      <c r="II4" s="210">
        <v>1.2</v>
      </c>
      <c r="IJ4" s="210">
        <v>1.4</v>
      </c>
    </row>
    <row r="6" spans="2:244" x14ac:dyDescent="0.15">
      <c r="B6" s="211" t="s">
        <v>679</v>
      </c>
      <c r="C6" s="212">
        <f>AVERAGE(DQ4:IF4)</f>
        <v>1.9533333333333331</v>
      </c>
      <c r="D6" s="207" t="s">
        <v>12</v>
      </c>
    </row>
    <row r="8" spans="2:244" x14ac:dyDescent="0.15">
      <c r="B8" s="213" t="s">
        <v>783</v>
      </c>
    </row>
    <row r="9" spans="2:244" x14ac:dyDescent="0.15">
      <c r="B9" s="206" t="s">
        <v>784</v>
      </c>
    </row>
    <row r="10" spans="2:244" x14ac:dyDescent="0.15">
      <c r="D10" s="143" t="s">
        <v>391</v>
      </c>
      <c r="E10" s="143" t="s">
        <v>392</v>
      </c>
      <c r="F10" s="143" t="s">
        <v>393</v>
      </c>
      <c r="G10" s="143" t="s">
        <v>394</v>
      </c>
      <c r="H10" s="143" t="s">
        <v>395</v>
      </c>
      <c r="I10" s="143" t="s">
        <v>396</v>
      </c>
      <c r="J10" s="143" t="s">
        <v>397</v>
      </c>
      <c r="K10" s="143" t="s">
        <v>398</v>
      </c>
      <c r="L10" s="143" t="s">
        <v>399</v>
      </c>
      <c r="M10" s="143" t="s">
        <v>400</v>
      </c>
      <c r="N10" s="143" t="s">
        <v>401</v>
      </c>
      <c r="O10" s="143" t="s">
        <v>402</v>
      </c>
      <c r="P10" s="143" t="s">
        <v>403</v>
      </c>
      <c r="Q10" s="143" t="s">
        <v>404</v>
      </c>
      <c r="R10" s="143" t="s">
        <v>405</v>
      </c>
      <c r="S10" s="143" t="s">
        <v>406</v>
      </c>
      <c r="T10" s="143" t="s">
        <v>407</v>
      </c>
      <c r="U10" s="143" t="s">
        <v>408</v>
      </c>
      <c r="V10" s="143" t="s">
        <v>409</v>
      </c>
      <c r="W10" s="143" t="s">
        <v>410</v>
      </c>
      <c r="X10" s="143" t="s">
        <v>411</v>
      </c>
      <c r="Y10" s="143" t="s">
        <v>412</v>
      </c>
      <c r="Z10" s="143" t="s">
        <v>413</v>
      </c>
      <c r="AA10" s="143" t="s">
        <v>414</v>
      </c>
      <c r="AB10" s="143" t="s">
        <v>415</v>
      </c>
      <c r="AC10" s="143" t="s">
        <v>416</v>
      </c>
      <c r="AD10" s="143" t="s">
        <v>417</v>
      </c>
      <c r="AE10" s="143" t="s">
        <v>418</v>
      </c>
      <c r="AF10" s="143" t="s">
        <v>419</v>
      </c>
      <c r="AG10" s="143" t="s">
        <v>420</v>
      </c>
      <c r="AH10" s="143" t="s">
        <v>421</v>
      </c>
      <c r="AI10" s="143" t="s">
        <v>422</v>
      </c>
      <c r="AJ10" s="143" t="s">
        <v>423</v>
      </c>
      <c r="AK10" s="143" t="s">
        <v>424</v>
      </c>
      <c r="AL10" s="143" t="s">
        <v>425</v>
      </c>
      <c r="AM10" s="143" t="s">
        <v>426</v>
      </c>
      <c r="AN10" s="143" t="s">
        <v>427</v>
      </c>
      <c r="AO10" s="143" t="s">
        <v>428</v>
      </c>
      <c r="AP10" s="143" t="s">
        <v>429</v>
      </c>
      <c r="AQ10" s="143" t="s">
        <v>430</v>
      </c>
      <c r="AR10" s="143" t="s">
        <v>431</v>
      </c>
      <c r="AS10" s="143" t="s">
        <v>432</v>
      </c>
      <c r="AT10" s="143" t="s">
        <v>433</v>
      </c>
      <c r="AU10" s="143" t="s">
        <v>434</v>
      </c>
      <c r="AV10" s="143" t="s">
        <v>435</v>
      </c>
      <c r="AW10" s="143" t="s">
        <v>436</v>
      </c>
      <c r="AX10" s="143" t="s">
        <v>437</v>
      </c>
      <c r="AY10" s="143" t="s">
        <v>438</v>
      </c>
      <c r="AZ10" s="143" t="s">
        <v>439</v>
      </c>
      <c r="BA10" s="143" t="s">
        <v>440</v>
      </c>
      <c r="BB10" s="143" t="s">
        <v>441</v>
      </c>
      <c r="BC10" s="143" t="s">
        <v>442</v>
      </c>
      <c r="BD10" s="143" t="s">
        <v>443</v>
      </c>
      <c r="BE10" s="143" t="s">
        <v>444</v>
      </c>
      <c r="BF10" s="143" t="s">
        <v>445</v>
      </c>
      <c r="BG10" s="143" t="s">
        <v>446</v>
      </c>
      <c r="BH10" s="143" t="s">
        <v>447</v>
      </c>
      <c r="BI10" s="143" t="s">
        <v>448</v>
      </c>
      <c r="BJ10" s="143" t="s">
        <v>449</v>
      </c>
      <c r="BK10" s="143" t="s">
        <v>450</v>
      </c>
      <c r="BL10" s="143" t="s">
        <v>451</v>
      </c>
      <c r="BM10" s="143" t="s">
        <v>452</v>
      </c>
      <c r="BN10" s="143" t="s">
        <v>453</v>
      </c>
      <c r="BO10" s="143" t="s">
        <v>454</v>
      </c>
      <c r="BP10" s="143" t="s">
        <v>455</v>
      </c>
      <c r="BQ10" s="143" t="s">
        <v>456</v>
      </c>
      <c r="BR10" s="143" t="s">
        <v>457</v>
      </c>
      <c r="BS10" s="143" t="s">
        <v>458</v>
      </c>
      <c r="BT10" s="143" t="s">
        <v>459</v>
      </c>
      <c r="BU10" s="143" t="s">
        <v>460</v>
      </c>
      <c r="BV10" s="143" t="s">
        <v>461</v>
      </c>
      <c r="BW10" s="143" t="s">
        <v>462</v>
      </c>
      <c r="BX10" s="143" t="s">
        <v>463</v>
      </c>
      <c r="BY10" s="143" t="s">
        <v>464</v>
      </c>
      <c r="BZ10" s="143" t="s">
        <v>465</v>
      </c>
      <c r="CA10" s="143" t="s">
        <v>466</v>
      </c>
      <c r="CB10" s="143" t="s">
        <v>467</v>
      </c>
      <c r="CC10" s="143" t="s">
        <v>468</v>
      </c>
      <c r="CD10" s="143" t="s">
        <v>469</v>
      </c>
      <c r="CE10" s="143" t="s">
        <v>470</v>
      </c>
      <c r="CF10" s="143" t="s">
        <v>471</v>
      </c>
      <c r="CG10" s="143" t="s">
        <v>472</v>
      </c>
      <c r="CH10" s="143" t="s">
        <v>473</v>
      </c>
      <c r="CI10" s="143" t="s">
        <v>474</v>
      </c>
      <c r="CJ10" s="143" t="s">
        <v>475</v>
      </c>
      <c r="CK10" s="143" t="s">
        <v>476</v>
      </c>
      <c r="CL10" s="143" t="s">
        <v>477</v>
      </c>
      <c r="CM10" s="143" t="s">
        <v>478</v>
      </c>
      <c r="CN10" s="143" t="s">
        <v>479</v>
      </c>
      <c r="CO10" s="143" t="s">
        <v>480</v>
      </c>
      <c r="CP10" s="143" t="s">
        <v>481</v>
      </c>
      <c r="CQ10" s="143" t="s">
        <v>482</v>
      </c>
      <c r="CR10" s="143" t="s">
        <v>483</v>
      </c>
      <c r="CS10" s="143" t="s">
        <v>484</v>
      </c>
      <c r="CT10" s="143" t="s">
        <v>485</v>
      </c>
      <c r="CU10" s="143" t="s">
        <v>486</v>
      </c>
      <c r="CV10" s="143" t="s">
        <v>487</v>
      </c>
      <c r="CW10" s="143" t="s">
        <v>488</v>
      </c>
      <c r="CX10" s="143" t="s">
        <v>489</v>
      </c>
      <c r="CY10" s="143" t="s">
        <v>490</v>
      </c>
      <c r="CZ10" s="143" t="s">
        <v>491</v>
      </c>
      <c r="DA10" s="143" t="s">
        <v>492</v>
      </c>
      <c r="DB10" s="143" t="s">
        <v>493</v>
      </c>
      <c r="DC10" s="143" t="s">
        <v>494</v>
      </c>
      <c r="DD10" s="143" t="s">
        <v>495</v>
      </c>
      <c r="DE10" s="143" t="s">
        <v>496</v>
      </c>
      <c r="DF10" s="143" t="s">
        <v>497</v>
      </c>
      <c r="DG10" s="143" t="s">
        <v>498</v>
      </c>
      <c r="DH10" s="143" t="s">
        <v>499</v>
      </c>
      <c r="DI10" s="143" t="s">
        <v>500</v>
      </c>
      <c r="DJ10" s="143" t="s">
        <v>501</v>
      </c>
      <c r="DK10" s="143" t="s">
        <v>502</v>
      </c>
      <c r="DL10" s="143" t="s">
        <v>503</v>
      </c>
      <c r="DM10" s="143" t="s">
        <v>504</v>
      </c>
      <c r="DN10" s="143" t="s">
        <v>505</v>
      </c>
      <c r="DO10" s="143" t="s">
        <v>506</v>
      </c>
      <c r="DP10" s="143" t="s">
        <v>507</v>
      </c>
      <c r="DQ10" s="143" t="s">
        <v>508</v>
      </c>
      <c r="DR10" s="143" t="s">
        <v>509</v>
      </c>
      <c r="DS10" s="143" t="s">
        <v>510</v>
      </c>
      <c r="DT10" s="143" t="s">
        <v>511</v>
      </c>
      <c r="DU10" s="143" t="s">
        <v>512</v>
      </c>
      <c r="DV10" s="143" t="s">
        <v>513</v>
      </c>
      <c r="DW10" s="143" t="s">
        <v>514</v>
      </c>
      <c r="DX10" s="143" t="s">
        <v>515</v>
      </c>
      <c r="DY10" s="143" t="s">
        <v>516</v>
      </c>
      <c r="DZ10" s="143" t="s">
        <v>517</v>
      </c>
      <c r="EA10" s="143" t="s">
        <v>518</v>
      </c>
      <c r="EB10" s="143" t="s">
        <v>519</v>
      </c>
      <c r="EC10" s="143" t="s">
        <v>520</v>
      </c>
      <c r="ED10" s="143" t="s">
        <v>521</v>
      </c>
      <c r="EE10" s="143" t="s">
        <v>522</v>
      </c>
      <c r="EF10" s="143" t="s">
        <v>523</v>
      </c>
      <c r="EG10" s="143" t="s">
        <v>524</v>
      </c>
      <c r="EH10" s="143" t="s">
        <v>525</v>
      </c>
      <c r="EI10" s="143" t="s">
        <v>526</v>
      </c>
      <c r="EJ10" s="143" t="s">
        <v>527</v>
      </c>
      <c r="EK10" s="143" t="s">
        <v>528</v>
      </c>
      <c r="EL10" s="143" t="s">
        <v>529</v>
      </c>
      <c r="EM10" s="143" t="s">
        <v>530</v>
      </c>
      <c r="EN10" s="143" t="s">
        <v>531</v>
      </c>
      <c r="EO10" s="143" t="s">
        <v>532</v>
      </c>
      <c r="EP10" s="143" t="s">
        <v>533</v>
      </c>
      <c r="EQ10" s="143" t="s">
        <v>534</v>
      </c>
      <c r="ER10" s="143" t="s">
        <v>535</v>
      </c>
      <c r="ES10" s="143" t="s">
        <v>536</v>
      </c>
      <c r="ET10" s="143" t="s">
        <v>537</v>
      </c>
      <c r="EU10" s="143" t="s">
        <v>538</v>
      </c>
      <c r="EV10" s="143" t="s">
        <v>539</v>
      </c>
      <c r="EW10" s="143" t="s">
        <v>540</v>
      </c>
      <c r="EX10" s="143" t="s">
        <v>541</v>
      </c>
      <c r="EY10" s="143" t="s">
        <v>542</v>
      </c>
      <c r="EZ10" s="143" t="s">
        <v>543</v>
      </c>
      <c r="FA10" s="143" t="s">
        <v>544</v>
      </c>
      <c r="FB10" s="143" t="s">
        <v>545</v>
      </c>
      <c r="FC10" s="143" t="s">
        <v>546</v>
      </c>
      <c r="FD10" s="143" t="s">
        <v>547</v>
      </c>
      <c r="FE10" s="143" t="s">
        <v>548</v>
      </c>
      <c r="FF10" s="143" t="s">
        <v>549</v>
      </c>
      <c r="FG10" s="143" t="s">
        <v>550</v>
      </c>
      <c r="FH10" s="143" t="s">
        <v>551</v>
      </c>
      <c r="FI10" s="143" t="s">
        <v>552</v>
      </c>
      <c r="FJ10" s="143" t="s">
        <v>553</v>
      </c>
      <c r="FK10" s="143" t="s">
        <v>554</v>
      </c>
      <c r="FL10" s="143" t="s">
        <v>555</v>
      </c>
      <c r="FM10" s="143" t="s">
        <v>556</v>
      </c>
      <c r="FN10" s="143" t="s">
        <v>557</v>
      </c>
      <c r="FO10" s="143" t="s">
        <v>558</v>
      </c>
      <c r="FP10" s="143" t="s">
        <v>559</v>
      </c>
      <c r="FQ10" s="143" t="s">
        <v>560</v>
      </c>
      <c r="FR10" s="143" t="s">
        <v>561</v>
      </c>
      <c r="FS10" s="143" t="s">
        <v>562</v>
      </c>
      <c r="FT10" s="143" t="s">
        <v>563</v>
      </c>
      <c r="FU10" s="143" t="s">
        <v>564</v>
      </c>
      <c r="FV10" s="143" t="s">
        <v>565</v>
      </c>
      <c r="FW10" s="143" t="s">
        <v>566</v>
      </c>
      <c r="FX10" s="143" t="s">
        <v>567</v>
      </c>
      <c r="FY10" s="143" t="s">
        <v>568</v>
      </c>
      <c r="FZ10" s="143" t="s">
        <v>569</v>
      </c>
      <c r="GA10" s="143" t="s">
        <v>570</v>
      </c>
      <c r="GB10" s="143" t="s">
        <v>571</v>
      </c>
      <c r="GC10" s="143" t="s">
        <v>572</v>
      </c>
      <c r="GD10" s="143" t="s">
        <v>573</v>
      </c>
      <c r="GE10" s="143" t="s">
        <v>574</v>
      </c>
      <c r="GF10" s="143" t="s">
        <v>575</v>
      </c>
      <c r="GG10" s="143" t="s">
        <v>576</v>
      </c>
      <c r="GH10" s="143" t="s">
        <v>577</v>
      </c>
      <c r="GI10" s="143" t="s">
        <v>578</v>
      </c>
      <c r="GJ10" s="143" t="s">
        <v>579</v>
      </c>
      <c r="GK10" s="143" t="s">
        <v>580</v>
      </c>
      <c r="GL10" s="143" t="s">
        <v>581</v>
      </c>
      <c r="GM10" s="143" t="s">
        <v>582</v>
      </c>
      <c r="GN10" s="143" t="s">
        <v>583</v>
      </c>
      <c r="GO10" s="143" t="s">
        <v>584</v>
      </c>
      <c r="GP10" s="143" t="s">
        <v>585</v>
      </c>
      <c r="GQ10" s="143" t="s">
        <v>586</v>
      </c>
      <c r="GR10" s="143" t="s">
        <v>587</v>
      </c>
      <c r="GS10" s="143" t="s">
        <v>588</v>
      </c>
      <c r="GT10" s="143" t="s">
        <v>589</v>
      </c>
      <c r="GU10" s="143" t="s">
        <v>590</v>
      </c>
      <c r="GV10" s="143" t="s">
        <v>591</v>
      </c>
      <c r="GW10" s="143" t="s">
        <v>592</v>
      </c>
      <c r="GX10" s="143" t="s">
        <v>593</v>
      </c>
      <c r="GY10" s="143" t="s">
        <v>594</v>
      </c>
      <c r="GZ10" s="143" t="s">
        <v>595</v>
      </c>
      <c r="HA10" s="143" t="s">
        <v>596</v>
      </c>
      <c r="HB10" s="143" t="s">
        <v>597</v>
      </c>
      <c r="HC10" s="143" t="s">
        <v>598</v>
      </c>
      <c r="HD10" s="143" t="s">
        <v>599</v>
      </c>
      <c r="HE10" s="143" t="s">
        <v>600</v>
      </c>
      <c r="HF10" s="143" t="s">
        <v>601</v>
      </c>
      <c r="HG10" s="143" t="s">
        <v>602</v>
      </c>
      <c r="HH10" s="143" t="s">
        <v>603</v>
      </c>
      <c r="HI10" s="143" t="s">
        <v>604</v>
      </c>
      <c r="HJ10" s="143" t="s">
        <v>605</v>
      </c>
      <c r="HK10" s="143" t="s">
        <v>606</v>
      </c>
      <c r="HL10" s="143" t="s">
        <v>607</v>
      </c>
      <c r="HM10" s="143" t="s">
        <v>608</v>
      </c>
      <c r="HN10" s="143" t="s">
        <v>609</v>
      </c>
      <c r="HO10" s="143" t="s">
        <v>610</v>
      </c>
      <c r="HP10" s="143" t="s">
        <v>611</v>
      </c>
      <c r="HQ10" s="143" t="s">
        <v>612</v>
      </c>
      <c r="HR10" s="143" t="s">
        <v>613</v>
      </c>
      <c r="HS10" s="143" t="s">
        <v>614</v>
      </c>
      <c r="HT10" s="143" t="s">
        <v>615</v>
      </c>
      <c r="HU10" s="143" t="s">
        <v>616</v>
      </c>
      <c r="HV10" s="143" t="s">
        <v>617</v>
      </c>
      <c r="HW10" s="143" t="s">
        <v>618</v>
      </c>
      <c r="HX10" s="143" t="s">
        <v>619</v>
      </c>
      <c r="HY10" s="143" t="s">
        <v>620</v>
      </c>
      <c r="HZ10" s="143" t="s">
        <v>621</v>
      </c>
      <c r="IA10" s="143" t="s">
        <v>622</v>
      </c>
      <c r="IB10" s="143" t="s">
        <v>623</v>
      </c>
      <c r="IC10" s="143" t="s">
        <v>624</v>
      </c>
      <c r="ID10" s="143" t="s">
        <v>625</v>
      </c>
      <c r="IE10" s="143" t="s">
        <v>626</v>
      </c>
      <c r="IF10" s="143" t="s">
        <v>627</v>
      </c>
      <c r="IG10" s="143" t="s">
        <v>628</v>
      </c>
      <c r="IH10" s="143" t="s">
        <v>629</v>
      </c>
      <c r="II10" s="143" t="s">
        <v>630</v>
      </c>
      <c r="IJ10" s="143" t="s">
        <v>785</v>
      </c>
    </row>
    <row r="11" spans="2:244" x14ac:dyDescent="0.15">
      <c r="B11" s="143" t="s">
        <v>631</v>
      </c>
      <c r="C11" s="143" t="s">
        <v>786</v>
      </c>
      <c r="D11" s="210">
        <v>2.1</v>
      </c>
      <c r="E11" s="210">
        <v>2.2999999999999998</v>
      </c>
      <c r="F11" s="210">
        <v>2.2000000000000002</v>
      </c>
      <c r="G11" s="210">
        <v>2.2000000000000002</v>
      </c>
      <c r="H11" s="210">
        <v>1.7</v>
      </c>
      <c r="I11" s="210">
        <v>1.6</v>
      </c>
      <c r="J11" s="210">
        <v>1.9</v>
      </c>
      <c r="K11" s="210">
        <v>1.8</v>
      </c>
      <c r="L11" s="210">
        <v>1.9</v>
      </c>
      <c r="M11" s="210">
        <v>2</v>
      </c>
      <c r="N11" s="210">
        <v>2.1</v>
      </c>
      <c r="O11" s="210">
        <v>1.8</v>
      </c>
      <c r="P11" s="210">
        <v>1.9</v>
      </c>
      <c r="Q11" s="210">
        <v>1.5</v>
      </c>
      <c r="R11" s="210">
        <v>1.4</v>
      </c>
      <c r="S11" s="210">
        <v>1.3</v>
      </c>
      <c r="T11" s="210">
        <v>1.6</v>
      </c>
      <c r="U11" s="210">
        <v>2.1</v>
      </c>
      <c r="V11" s="210">
        <v>2.8</v>
      </c>
      <c r="W11" s="210">
        <v>2.8</v>
      </c>
      <c r="X11" s="210">
        <v>3.3</v>
      </c>
      <c r="Y11" s="210">
        <v>3.4</v>
      </c>
      <c r="Z11" s="210">
        <v>3.4</v>
      </c>
      <c r="AA11" s="210">
        <v>3.6</v>
      </c>
      <c r="AB11" s="210">
        <v>3.9</v>
      </c>
      <c r="AC11" s="210">
        <v>4.3</v>
      </c>
      <c r="AD11" s="210">
        <v>4.4000000000000004</v>
      </c>
      <c r="AE11" s="210">
        <v>4.7</v>
      </c>
      <c r="AF11" s="210">
        <v>4.4000000000000004</v>
      </c>
      <c r="AG11" s="210">
        <v>3.9</v>
      </c>
      <c r="AH11" s="210">
        <v>2.9</v>
      </c>
      <c r="AI11" s="210">
        <v>2.6</v>
      </c>
      <c r="AJ11" s="210">
        <v>2</v>
      </c>
      <c r="AK11" s="210">
        <v>2.7</v>
      </c>
      <c r="AL11" s="210">
        <v>2.5</v>
      </c>
      <c r="AM11" s="210">
        <v>2.1</v>
      </c>
      <c r="AN11" s="210">
        <v>2</v>
      </c>
      <c r="AO11" s="210">
        <v>2</v>
      </c>
      <c r="AP11" s="210">
        <v>1.7</v>
      </c>
      <c r="AQ11" s="210">
        <v>1.9</v>
      </c>
      <c r="AR11" s="210">
        <v>1.6</v>
      </c>
      <c r="AS11" s="210">
        <v>1.8</v>
      </c>
      <c r="AT11" s="210">
        <v>2</v>
      </c>
      <c r="AU11" s="210">
        <v>2.2000000000000002</v>
      </c>
      <c r="AV11" s="210">
        <v>2.2999999999999998</v>
      </c>
      <c r="AW11" s="210">
        <v>1.7</v>
      </c>
      <c r="AX11" s="210">
        <v>2</v>
      </c>
      <c r="AY11" s="210">
        <v>2.1</v>
      </c>
      <c r="AZ11" s="210">
        <v>1.8</v>
      </c>
      <c r="BA11" s="210">
        <v>1.4</v>
      </c>
      <c r="BB11" s="210">
        <v>1.8</v>
      </c>
      <c r="BC11" s="210">
        <v>1.8</v>
      </c>
      <c r="BD11" s="210">
        <v>2.2000000000000002</v>
      </c>
      <c r="BE11" s="210">
        <v>2</v>
      </c>
      <c r="BF11" s="210">
        <v>2.1</v>
      </c>
      <c r="BG11" s="210">
        <v>2.4</v>
      </c>
      <c r="BH11" s="210">
        <v>2.4</v>
      </c>
      <c r="BI11" s="210">
        <v>2.5</v>
      </c>
      <c r="BJ11" s="210">
        <v>2.5</v>
      </c>
      <c r="BK11" s="210">
        <v>2.9</v>
      </c>
      <c r="BL11" s="210">
        <v>2.9</v>
      </c>
      <c r="BM11" s="210">
        <v>2.8</v>
      </c>
      <c r="BN11" s="210">
        <v>2.9</v>
      </c>
      <c r="BO11" s="210">
        <v>2.5</v>
      </c>
      <c r="BP11" s="210">
        <v>2.5</v>
      </c>
      <c r="BQ11" s="210">
        <v>2.5</v>
      </c>
      <c r="BR11" s="210">
        <v>2.2000000000000002</v>
      </c>
      <c r="BS11" s="210">
        <v>2.2000000000000002</v>
      </c>
      <c r="BT11" s="210">
        <v>2.2999999999999998</v>
      </c>
      <c r="BU11" s="210">
        <v>2.2999999999999998</v>
      </c>
      <c r="BV11" s="210">
        <v>2.2000000000000002</v>
      </c>
      <c r="BW11" s="210">
        <v>1.6</v>
      </c>
      <c r="BX11" s="210">
        <v>1.5</v>
      </c>
      <c r="BY11" s="210">
        <v>1.6</v>
      </c>
      <c r="BZ11" s="210">
        <v>1.6</v>
      </c>
      <c r="CA11" s="210">
        <v>2</v>
      </c>
      <c r="CB11" s="210">
        <v>1.9</v>
      </c>
      <c r="CC11" s="210">
        <v>1.9</v>
      </c>
      <c r="CD11" s="210">
        <v>1.9</v>
      </c>
      <c r="CE11" s="210">
        <v>1.6</v>
      </c>
      <c r="CF11" s="210">
        <v>1.2</v>
      </c>
      <c r="CG11" s="210">
        <v>1.2</v>
      </c>
      <c r="CH11" s="210">
        <v>1</v>
      </c>
      <c r="CI11" s="210">
        <v>0.8</v>
      </c>
      <c r="CJ11" s="210">
        <v>1</v>
      </c>
      <c r="CK11" s="210">
        <v>1</v>
      </c>
      <c r="CL11" s="210">
        <v>0.8</v>
      </c>
      <c r="CM11" s="210">
        <v>0.5</v>
      </c>
      <c r="CN11" s="210">
        <v>0.6</v>
      </c>
      <c r="CO11" s="210">
        <v>0.8</v>
      </c>
      <c r="CP11" s="210">
        <v>0.7</v>
      </c>
      <c r="CQ11" s="210">
        <v>0.9</v>
      </c>
      <c r="CR11" s="210">
        <v>0.9</v>
      </c>
      <c r="CS11" s="210">
        <v>0.7</v>
      </c>
      <c r="CT11" s="210">
        <v>0.5</v>
      </c>
      <c r="CU11" s="210">
        <v>0.9</v>
      </c>
      <c r="CV11" s="210">
        <v>0.7</v>
      </c>
      <c r="CW11" s="210">
        <v>0.8</v>
      </c>
      <c r="CX11" s="210">
        <v>0.9</v>
      </c>
      <c r="CY11" s="210">
        <v>0.7</v>
      </c>
      <c r="CZ11" s="210">
        <v>0.7</v>
      </c>
      <c r="DA11" s="210">
        <v>0.7</v>
      </c>
      <c r="DB11" s="210">
        <v>0.7</v>
      </c>
      <c r="DC11" s="210">
        <v>0.5</v>
      </c>
      <c r="DD11" s="210">
        <v>0.3</v>
      </c>
      <c r="DE11" s="210">
        <v>0.5</v>
      </c>
      <c r="DF11" s="210">
        <v>0.8</v>
      </c>
      <c r="DG11" s="210">
        <v>0.8</v>
      </c>
      <c r="DH11" s="210">
        <v>0.8</v>
      </c>
      <c r="DI11" s="210">
        <v>0.8</v>
      </c>
      <c r="DJ11" s="210">
        <v>0.9</v>
      </c>
      <c r="DK11" s="210">
        <v>0.7</v>
      </c>
      <c r="DL11" s="210">
        <v>0.7</v>
      </c>
      <c r="DM11" s="210">
        <v>0.6</v>
      </c>
      <c r="DN11" s="210">
        <v>0.5</v>
      </c>
      <c r="DO11" s="210">
        <v>0.7</v>
      </c>
      <c r="DP11" s="210">
        <v>0.8</v>
      </c>
      <c r="DQ11" s="210">
        <v>0.5</v>
      </c>
      <c r="DR11" s="210">
        <v>0.2</v>
      </c>
      <c r="DS11" s="210">
        <v>0.2</v>
      </c>
      <c r="DT11" s="210">
        <v>0.4</v>
      </c>
      <c r="DU11" s="210">
        <v>0.6</v>
      </c>
      <c r="DV11" s="210">
        <v>0.5</v>
      </c>
      <c r="DW11" s="210">
        <v>0.5</v>
      </c>
      <c r="DX11" s="210">
        <v>0.2</v>
      </c>
      <c r="DY11" s="210">
        <v>0.5</v>
      </c>
      <c r="DZ11" s="210">
        <v>0.6</v>
      </c>
      <c r="EA11" s="210">
        <v>0.7</v>
      </c>
      <c r="EB11" s="210">
        <v>1.1000000000000001</v>
      </c>
      <c r="EC11" s="210">
        <v>1</v>
      </c>
      <c r="ED11" s="210">
        <v>1</v>
      </c>
      <c r="EE11" s="210">
        <v>1.2</v>
      </c>
      <c r="EF11" s="210">
        <v>0.9</v>
      </c>
      <c r="EG11" s="210">
        <v>0.7</v>
      </c>
      <c r="EH11" s="210">
        <v>1.7</v>
      </c>
      <c r="EI11" s="210">
        <v>1.7</v>
      </c>
      <c r="EJ11" s="210">
        <v>1.7</v>
      </c>
      <c r="EK11" s="210">
        <v>1.6</v>
      </c>
      <c r="EL11" s="210">
        <v>1.5</v>
      </c>
      <c r="EM11" s="210">
        <v>1.1000000000000001</v>
      </c>
      <c r="EN11" s="210">
        <v>0.8</v>
      </c>
      <c r="EO11" s="210">
        <v>0.7</v>
      </c>
      <c r="EP11" s="210">
        <v>0.6</v>
      </c>
      <c r="EQ11" s="210">
        <v>0.8</v>
      </c>
      <c r="ER11" s="210">
        <v>1.1000000000000001</v>
      </c>
      <c r="ES11" s="210">
        <v>1.1000000000000001</v>
      </c>
      <c r="ET11" s="210">
        <v>1</v>
      </c>
      <c r="EU11" s="210">
        <v>0.9</v>
      </c>
      <c r="EV11" s="210">
        <v>0.7</v>
      </c>
      <c r="EW11" s="210">
        <v>0.8</v>
      </c>
      <c r="EX11" s="210">
        <v>0.8</v>
      </c>
      <c r="EY11" s="210">
        <v>0.8</v>
      </c>
      <c r="EZ11" s="210">
        <v>1.3</v>
      </c>
      <c r="FA11" s="210">
        <v>1.2</v>
      </c>
      <c r="FB11" s="210">
        <v>1.3</v>
      </c>
      <c r="FC11" s="210">
        <v>1.1000000000000001</v>
      </c>
      <c r="FD11" s="210">
        <v>0.9</v>
      </c>
      <c r="FE11" s="210">
        <v>0.7</v>
      </c>
      <c r="FF11" s="210">
        <v>0.5</v>
      </c>
      <c r="FG11" s="210">
        <v>0.6</v>
      </c>
      <c r="FH11" s="210">
        <v>0.6</v>
      </c>
      <c r="FI11" s="210">
        <v>0.7</v>
      </c>
      <c r="FJ11" s="210">
        <v>0.8</v>
      </c>
      <c r="FK11" s="210">
        <v>1</v>
      </c>
      <c r="FL11" s="210">
        <v>0.9</v>
      </c>
      <c r="FM11" s="210">
        <v>0.9</v>
      </c>
      <c r="FN11" s="210">
        <v>0.5</v>
      </c>
      <c r="FO11" s="210">
        <v>0.2</v>
      </c>
      <c r="FP11" s="210">
        <v>0.1</v>
      </c>
      <c r="FQ11" s="210">
        <v>0.4</v>
      </c>
      <c r="FR11" s="210">
        <v>0.5</v>
      </c>
      <c r="FS11" s="210">
        <v>0.2</v>
      </c>
      <c r="FT11" s="210">
        <v>0.3</v>
      </c>
      <c r="FU11" s="210">
        <v>0.1</v>
      </c>
      <c r="FV11" s="210">
        <v>0</v>
      </c>
      <c r="FW11" s="210">
        <v>0</v>
      </c>
      <c r="FX11" s="210">
        <v>0.2</v>
      </c>
      <c r="FY11" s="210">
        <v>0.1</v>
      </c>
      <c r="FZ11" s="210">
        <v>0.5</v>
      </c>
      <c r="GA11" s="210">
        <v>0.9</v>
      </c>
      <c r="GB11" s="210">
        <v>1.3</v>
      </c>
      <c r="GC11" s="210">
        <v>1.2</v>
      </c>
      <c r="GD11" s="210">
        <v>1.2</v>
      </c>
      <c r="GE11" s="210">
        <v>1.5</v>
      </c>
      <c r="GF11" s="210">
        <v>2</v>
      </c>
      <c r="GG11" s="210">
        <v>2.6</v>
      </c>
      <c r="GH11" s="210">
        <v>3.3</v>
      </c>
      <c r="GI11" s="210">
        <v>3</v>
      </c>
      <c r="GJ11" s="210">
        <v>4</v>
      </c>
      <c r="GK11" s="210">
        <v>4.9000000000000004</v>
      </c>
      <c r="GL11" s="210">
        <v>5.5</v>
      </c>
      <c r="GM11" s="210">
        <v>6.5</v>
      </c>
      <c r="GN11" s="210">
        <v>7.3</v>
      </c>
      <c r="GO11" s="210">
        <v>8.1</v>
      </c>
      <c r="GP11" s="210">
        <v>8.8000000000000007</v>
      </c>
      <c r="GQ11" s="210">
        <v>9</v>
      </c>
      <c r="GR11" s="210">
        <v>10.1</v>
      </c>
      <c r="GS11" s="210">
        <v>10.3</v>
      </c>
      <c r="GT11" s="210">
        <v>9.1</v>
      </c>
      <c r="GU11" s="210">
        <v>9</v>
      </c>
      <c r="GV11" s="210">
        <v>8.8000000000000007</v>
      </c>
      <c r="GW11" s="210">
        <v>8.1999999999999993</v>
      </c>
      <c r="GX11" s="210">
        <v>7.4</v>
      </c>
      <c r="GY11" s="210">
        <v>6.3</v>
      </c>
      <c r="GZ11" s="210">
        <v>4.0999999999999996</v>
      </c>
      <c r="HA11" s="210">
        <v>3.6</v>
      </c>
      <c r="HB11" s="210">
        <v>3.6</v>
      </c>
      <c r="HC11" s="210">
        <v>2.8</v>
      </c>
      <c r="HD11" s="210">
        <v>1.3</v>
      </c>
      <c r="HE11" s="210">
        <v>0.5</v>
      </c>
      <c r="HF11" s="210">
        <v>0.9</v>
      </c>
      <c r="HG11" s="210">
        <v>1</v>
      </c>
      <c r="HH11" s="210">
        <v>0.6</v>
      </c>
      <c r="HI11" s="210">
        <v>0.3</v>
      </c>
      <c r="HJ11" s="210">
        <v>0.4</v>
      </c>
      <c r="HK11" s="210">
        <v>0.1</v>
      </c>
      <c r="HL11" s="210">
        <v>1.4</v>
      </c>
      <c r="HM11" s="210">
        <v>1</v>
      </c>
      <c r="HN11" s="210">
        <v>1</v>
      </c>
      <c r="HO11" s="210">
        <v>1.2</v>
      </c>
      <c r="HP11" s="210">
        <v>1</v>
      </c>
      <c r="HQ11" s="210">
        <v>1.4</v>
      </c>
      <c r="HR11" s="210">
        <v>1.4</v>
      </c>
      <c r="HS11" s="210">
        <v>1.6</v>
      </c>
      <c r="HT11" s="210">
        <v>1.3</v>
      </c>
      <c r="HU11" s="210">
        <v>2</v>
      </c>
      <c r="HV11" s="210">
        <v>1.5</v>
      </c>
      <c r="HW11" s="210">
        <v>1.6</v>
      </c>
      <c r="HX11" s="210">
        <v>1.6</v>
      </c>
      <c r="HY11" s="210">
        <v>1.9</v>
      </c>
      <c r="HZ11" s="210">
        <v>2.2000000000000002</v>
      </c>
      <c r="IA11" s="210">
        <v>2.1</v>
      </c>
      <c r="IB11" s="210">
        <v>2.2999999999999998</v>
      </c>
      <c r="IC11" s="210">
        <v>2.2000000000000002</v>
      </c>
      <c r="ID11" s="210">
        <v>2.2000000000000002</v>
      </c>
      <c r="IE11" s="210">
        <v>2</v>
      </c>
      <c r="IF11" s="210">
        <v>1.7</v>
      </c>
      <c r="IG11" s="210">
        <v>1.6</v>
      </c>
      <c r="IH11" s="210">
        <v>2</v>
      </c>
      <c r="II11" s="210">
        <v>2.1</v>
      </c>
      <c r="IJ11" s="210">
        <v>2.7</v>
      </c>
    </row>
    <row r="13" spans="2:244" x14ac:dyDescent="0.15">
      <c r="B13" s="211" t="s">
        <v>787</v>
      </c>
      <c r="C13" s="223">
        <f>AVERAGE(DP11:IE11)</f>
        <v>1.9916666666666669</v>
      </c>
      <c r="D13" s="207" t="s">
        <v>12</v>
      </c>
    </row>
    <row r="15" spans="2:244" x14ac:dyDescent="0.15">
      <c r="B15" s="244" t="s">
        <v>633</v>
      </c>
      <c r="C15" s="245"/>
      <c r="D15" s="245"/>
      <c r="E15" s="245"/>
      <c r="F15" s="245"/>
    </row>
    <row r="16" spans="2:244" x14ac:dyDescent="0.15">
      <c r="B16" s="244" t="s">
        <v>634</v>
      </c>
      <c r="C16" s="245"/>
      <c r="D16" s="245"/>
      <c r="E16" s="245"/>
      <c r="F16" s="245"/>
    </row>
    <row r="17" spans="2:6" ht="15" thickBot="1" x14ac:dyDescent="0.2">
      <c r="B17" s="244" t="s">
        <v>73</v>
      </c>
      <c r="C17" s="245"/>
      <c r="D17" s="245"/>
      <c r="E17" s="245"/>
      <c r="F17" s="245"/>
    </row>
    <row r="18" spans="2:6" ht="15" thickBot="1" x14ac:dyDescent="0.2">
      <c r="B18" s="246" t="s">
        <v>66</v>
      </c>
      <c r="C18" s="246" t="s">
        <v>635</v>
      </c>
      <c r="D18" s="247"/>
      <c r="E18" s="246" t="s">
        <v>636</v>
      </c>
      <c r="F18" s="247"/>
    </row>
    <row r="19" spans="2:6" ht="15" thickBot="1" x14ac:dyDescent="0.2">
      <c r="B19" s="247"/>
      <c r="C19" s="246" t="s">
        <v>637</v>
      </c>
      <c r="D19" s="247"/>
      <c r="E19" s="246" t="s">
        <v>638</v>
      </c>
      <c r="F19" s="247"/>
    </row>
    <row r="20" spans="2:6" x14ac:dyDescent="0.15">
      <c r="B20" s="215" t="s">
        <v>639</v>
      </c>
      <c r="C20" s="216">
        <v>61.9</v>
      </c>
      <c r="D20" s="216" t="s">
        <v>640</v>
      </c>
      <c r="E20" s="216" t="s">
        <v>641</v>
      </c>
      <c r="F20" s="214"/>
    </row>
    <row r="21" spans="2:6" x14ac:dyDescent="0.15">
      <c r="B21" s="215" t="s">
        <v>642</v>
      </c>
      <c r="C21" s="216">
        <v>65</v>
      </c>
      <c r="D21" s="216" t="s">
        <v>640</v>
      </c>
      <c r="E21" s="216">
        <v>5</v>
      </c>
      <c r="F21" s="216" t="s">
        <v>640</v>
      </c>
    </row>
    <row r="22" spans="2:6" x14ac:dyDescent="0.15">
      <c r="B22" s="215" t="s">
        <v>643</v>
      </c>
      <c r="C22" s="216">
        <v>67.900000000000006</v>
      </c>
      <c r="D22" s="216" t="s">
        <v>640</v>
      </c>
      <c r="E22" s="216">
        <v>4.5</v>
      </c>
      <c r="F22" s="216" t="s">
        <v>640</v>
      </c>
    </row>
    <row r="23" spans="2:6" x14ac:dyDescent="0.15">
      <c r="B23" s="215" t="s">
        <v>644</v>
      </c>
      <c r="C23" s="216">
        <v>69.7</v>
      </c>
      <c r="D23" s="216" t="s">
        <v>640</v>
      </c>
      <c r="E23" s="216">
        <v>2.7</v>
      </c>
      <c r="F23" s="216" t="s">
        <v>640</v>
      </c>
    </row>
    <row r="24" spans="2:6" x14ac:dyDescent="0.15">
      <c r="B24" s="215" t="s">
        <v>645</v>
      </c>
      <c r="C24" s="216">
        <v>71</v>
      </c>
      <c r="D24" s="216" t="s">
        <v>640</v>
      </c>
      <c r="E24" s="216">
        <v>1.9</v>
      </c>
      <c r="F24" s="216" t="s">
        <v>640</v>
      </c>
    </row>
    <row r="25" spans="2:6" x14ac:dyDescent="0.15">
      <c r="B25" s="215" t="s">
        <v>646</v>
      </c>
      <c r="C25" s="216">
        <v>72</v>
      </c>
      <c r="D25" s="216" t="s">
        <v>640</v>
      </c>
      <c r="E25" s="216">
        <v>1.4</v>
      </c>
      <c r="F25" s="216" t="s">
        <v>640</v>
      </c>
    </row>
    <row r="26" spans="2:6" x14ac:dyDescent="0.15">
      <c r="B26" s="215" t="s">
        <v>647</v>
      </c>
      <c r="C26" s="216">
        <v>73.400000000000006</v>
      </c>
      <c r="D26" s="216" t="s">
        <v>640</v>
      </c>
      <c r="E26" s="216">
        <v>1.9</v>
      </c>
      <c r="F26" s="216" t="s">
        <v>640</v>
      </c>
    </row>
    <row r="27" spans="2:6" x14ac:dyDescent="0.15">
      <c r="B27" s="215" t="s">
        <v>648</v>
      </c>
      <c r="C27" s="216">
        <v>74</v>
      </c>
      <c r="D27" s="216" t="s">
        <v>640</v>
      </c>
      <c r="E27" s="216">
        <v>0.8</v>
      </c>
      <c r="F27" s="216" t="s">
        <v>640</v>
      </c>
    </row>
    <row r="28" spans="2:6" x14ac:dyDescent="0.15">
      <c r="B28" s="215" t="s">
        <v>649</v>
      </c>
      <c r="C28" s="216">
        <v>74.5</v>
      </c>
      <c r="D28" s="216" t="s">
        <v>640</v>
      </c>
      <c r="E28" s="216">
        <v>0.7</v>
      </c>
      <c r="F28" s="216" t="s">
        <v>640</v>
      </c>
    </row>
    <row r="29" spans="2:6" x14ac:dyDescent="0.15">
      <c r="B29" s="215" t="s">
        <v>650</v>
      </c>
      <c r="C29" s="216">
        <v>75.5</v>
      </c>
      <c r="D29" s="216" t="s">
        <v>640</v>
      </c>
      <c r="E29" s="216">
        <v>1.3</v>
      </c>
      <c r="F29" s="216" t="s">
        <v>640</v>
      </c>
    </row>
    <row r="30" spans="2:6" x14ac:dyDescent="0.15">
      <c r="B30" s="215" t="s">
        <v>651</v>
      </c>
      <c r="C30" s="216">
        <v>77</v>
      </c>
      <c r="D30" s="216" t="s">
        <v>640</v>
      </c>
      <c r="E30" s="216">
        <v>2</v>
      </c>
      <c r="F30" s="216" t="s">
        <v>640</v>
      </c>
    </row>
    <row r="31" spans="2:6" x14ac:dyDescent="0.15">
      <c r="B31" s="215" t="s">
        <v>652</v>
      </c>
      <c r="C31" s="216">
        <v>78.099999999999994</v>
      </c>
      <c r="D31" s="216" t="s">
        <v>640</v>
      </c>
      <c r="E31" s="216">
        <v>1.4</v>
      </c>
      <c r="F31" s="216" t="s">
        <v>640</v>
      </c>
    </row>
    <row r="32" spans="2:6" x14ac:dyDescent="0.15">
      <c r="B32" s="215" t="s">
        <v>653</v>
      </c>
      <c r="C32" s="216">
        <v>78.900000000000006</v>
      </c>
      <c r="D32" s="216" t="s">
        <v>640</v>
      </c>
      <c r="E32" s="216">
        <v>1</v>
      </c>
      <c r="F32" s="216" t="s">
        <v>640</v>
      </c>
    </row>
    <row r="33" spans="2:6" x14ac:dyDescent="0.15">
      <c r="B33" s="215" t="s">
        <v>654</v>
      </c>
      <c r="C33" s="216">
        <v>80.2</v>
      </c>
      <c r="D33" s="216" t="s">
        <v>640</v>
      </c>
      <c r="E33" s="216">
        <v>1.6</v>
      </c>
      <c r="F33" s="216" t="s">
        <v>640</v>
      </c>
    </row>
    <row r="34" spans="2:6" x14ac:dyDescent="0.15">
      <c r="B34" s="215" t="s">
        <v>655</v>
      </c>
      <c r="C34" s="216">
        <v>81.5</v>
      </c>
      <c r="D34" s="216" t="s">
        <v>640</v>
      </c>
      <c r="E34" s="216">
        <v>1.6</v>
      </c>
      <c r="F34" s="216" t="s">
        <v>640</v>
      </c>
    </row>
    <row r="35" spans="2:6" x14ac:dyDescent="0.15">
      <c r="B35" s="215" t="s">
        <v>656</v>
      </c>
      <c r="C35" s="216">
        <v>82.8</v>
      </c>
      <c r="D35" s="216" t="s">
        <v>640</v>
      </c>
      <c r="E35" s="216">
        <v>1.6</v>
      </c>
      <c r="F35" s="216" t="s">
        <v>640</v>
      </c>
    </row>
    <row r="36" spans="2:6" x14ac:dyDescent="0.15">
      <c r="B36" s="215" t="s">
        <v>657</v>
      </c>
      <c r="C36" s="216">
        <v>84.7</v>
      </c>
      <c r="D36" s="216" t="s">
        <v>640</v>
      </c>
      <c r="E36" s="216">
        <v>2.2999999999999998</v>
      </c>
      <c r="F36" s="216" t="s">
        <v>640</v>
      </c>
    </row>
    <row r="37" spans="2:6" x14ac:dyDescent="0.15">
      <c r="B37" s="215" t="s">
        <v>658</v>
      </c>
      <c r="C37" s="216">
        <v>86.9</v>
      </c>
      <c r="D37" s="216" t="s">
        <v>640</v>
      </c>
      <c r="E37" s="216">
        <v>2.6</v>
      </c>
      <c r="F37" s="216" t="s">
        <v>640</v>
      </c>
    </row>
    <row r="38" spans="2:6" x14ac:dyDescent="0.15">
      <c r="B38" s="215" t="s">
        <v>659</v>
      </c>
      <c r="C38" s="216">
        <v>87.2</v>
      </c>
      <c r="D38" s="216" t="s">
        <v>640</v>
      </c>
      <c r="E38" s="216">
        <v>0.3</v>
      </c>
      <c r="F38" s="216" t="s">
        <v>640</v>
      </c>
    </row>
    <row r="39" spans="2:6" x14ac:dyDescent="0.15">
      <c r="B39" s="215" t="s">
        <v>660</v>
      </c>
      <c r="C39" s="216">
        <v>88.1</v>
      </c>
      <c r="D39" s="216" t="s">
        <v>640</v>
      </c>
      <c r="E39" s="216">
        <v>1</v>
      </c>
      <c r="F39" s="216" t="s">
        <v>640</v>
      </c>
    </row>
    <row r="40" spans="2:6" x14ac:dyDescent="0.15">
      <c r="B40" s="215" t="s">
        <v>661</v>
      </c>
      <c r="C40" s="216">
        <v>90</v>
      </c>
      <c r="D40" s="216" t="s">
        <v>640</v>
      </c>
      <c r="E40" s="216">
        <v>2.2000000000000002</v>
      </c>
      <c r="F40" s="216" t="s">
        <v>640</v>
      </c>
    </row>
    <row r="41" spans="2:6" x14ac:dyDescent="0.15">
      <c r="B41" s="215" t="s">
        <v>662</v>
      </c>
      <c r="C41" s="216">
        <v>91.7</v>
      </c>
      <c r="D41" s="216" t="s">
        <v>640</v>
      </c>
      <c r="E41" s="216">
        <v>1.9</v>
      </c>
      <c r="F41" s="216" t="s">
        <v>640</v>
      </c>
    </row>
    <row r="42" spans="2:6" x14ac:dyDescent="0.15">
      <c r="B42" s="215" t="s">
        <v>663</v>
      </c>
      <c r="C42" s="216">
        <v>93.1</v>
      </c>
      <c r="D42" s="216" t="s">
        <v>640</v>
      </c>
      <c r="E42" s="216">
        <v>1.5</v>
      </c>
      <c r="F42" s="216" t="s">
        <v>640</v>
      </c>
    </row>
    <row r="43" spans="2:6" x14ac:dyDescent="0.15">
      <c r="B43" s="215" t="s">
        <v>664</v>
      </c>
      <c r="C43" s="216">
        <v>94</v>
      </c>
      <c r="D43" s="216" t="s">
        <v>640</v>
      </c>
      <c r="E43" s="216">
        <v>1</v>
      </c>
      <c r="F43" s="216" t="s">
        <v>640</v>
      </c>
    </row>
    <row r="44" spans="2:6" x14ac:dyDescent="0.15">
      <c r="B44" s="215" t="s">
        <v>665</v>
      </c>
      <c r="C44" s="216">
        <v>94.5</v>
      </c>
      <c r="D44" s="216" t="s">
        <v>640</v>
      </c>
      <c r="E44" s="216">
        <v>0.5</v>
      </c>
      <c r="F44" s="216" t="s">
        <v>640</v>
      </c>
    </row>
    <row r="45" spans="2:6" x14ac:dyDescent="0.15">
      <c r="B45" s="215" t="s">
        <v>666</v>
      </c>
      <c r="C45" s="216">
        <v>95</v>
      </c>
      <c r="D45" s="216" t="s">
        <v>640</v>
      </c>
      <c r="E45" s="216">
        <v>0.5</v>
      </c>
      <c r="F45" s="216" t="s">
        <v>640</v>
      </c>
    </row>
    <row r="46" spans="2:6" x14ac:dyDescent="0.15">
      <c r="B46" s="215" t="s">
        <v>667</v>
      </c>
      <c r="C46" s="216">
        <v>96.4</v>
      </c>
      <c r="D46" s="216" t="s">
        <v>640</v>
      </c>
      <c r="E46" s="216">
        <v>1.5</v>
      </c>
      <c r="F46" s="216" t="s">
        <v>640</v>
      </c>
    </row>
    <row r="47" spans="2:6" x14ac:dyDescent="0.15">
      <c r="B47" s="215" t="s">
        <v>668</v>
      </c>
      <c r="C47" s="216">
        <v>98.1</v>
      </c>
      <c r="D47" s="216" t="s">
        <v>640</v>
      </c>
      <c r="E47" s="216">
        <v>1.8</v>
      </c>
      <c r="F47" s="216" t="s">
        <v>640</v>
      </c>
    </row>
    <row r="48" spans="2:6" x14ac:dyDescent="0.15">
      <c r="B48" s="215" t="s">
        <v>669</v>
      </c>
      <c r="C48" s="216">
        <v>99.5</v>
      </c>
      <c r="D48" s="216" t="s">
        <v>640</v>
      </c>
      <c r="E48" s="216">
        <v>1.4</v>
      </c>
      <c r="F48" s="216" t="s">
        <v>640</v>
      </c>
    </row>
    <row r="49" spans="2:6" x14ac:dyDescent="0.15">
      <c r="B49" s="215" t="s">
        <v>670</v>
      </c>
      <c r="C49" s="216">
        <v>100</v>
      </c>
      <c r="D49" s="216" t="s">
        <v>640</v>
      </c>
      <c r="E49" s="216">
        <v>0.5</v>
      </c>
      <c r="F49" s="216" t="s">
        <v>640</v>
      </c>
    </row>
    <row r="50" spans="2:6" x14ac:dyDescent="0.15">
      <c r="B50" s="215" t="s">
        <v>671</v>
      </c>
      <c r="C50" s="216">
        <v>103.1</v>
      </c>
      <c r="D50" s="216" t="s">
        <v>640</v>
      </c>
      <c r="E50" s="216">
        <v>3.1</v>
      </c>
      <c r="F50" s="216" t="s">
        <v>640</v>
      </c>
    </row>
    <row r="51" spans="2:6" x14ac:dyDescent="0.15">
      <c r="B51" s="215" t="s">
        <v>672</v>
      </c>
      <c r="C51" s="216">
        <v>110.2</v>
      </c>
      <c r="D51" s="216" t="s">
        <v>640</v>
      </c>
      <c r="E51" s="216">
        <v>6.9</v>
      </c>
      <c r="F51" s="216" t="s">
        <v>640</v>
      </c>
    </row>
    <row r="52" spans="2:6" x14ac:dyDescent="0.15">
      <c r="B52" s="215" t="s">
        <v>673</v>
      </c>
      <c r="C52" s="216">
        <v>116.7</v>
      </c>
      <c r="D52" s="216" t="s">
        <v>640</v>
      </c>
      <c r="E52" s="216">
        <v>5.9</v>
      </c>
      <c r="F52" s="216" t="s">
        <v>640</v>
      </c>
    </row>
    <row r="53" spans="2:6" x14ac:dyDescent="0.15">
      <c r="B53" s="215" t="s">
        <v>674</v>
      </c>
      <c r="C53" s="216">
        <v>119.3</v>
      </c>
      <c r="D53" s="216" t="s">
        <v>640</v>
      </c>
      <c r="E53" s="216">
        <v>2.2000000000000002</v>
      </c>
      <c r="F53" s="216" t="s">
        <v>640</v>
      </c>
    </row>
    <row r="54" spans="2:6" x14ac:dyDescent="0.15">
      <c r="B54" s="215" t="s">
        <v>675</v>
      </c>
      <c r="C54" s="216">
        <v>121.9</v>
      </c>
      <c r="D54" s="216" t="s">
        <v>640</v>
      </c>
      <c r="E54" s="216">
        <v>2.2000000000000002</v>
      </c>
      <c r="F54" s="216" t="s">
        <v>640</v>
      </c>
    </row>
    <row r="55" spans="2:6" x14ac:dyDescent="0.15">
      <c r="B55" s="217" t="s">
        <v>676</v>
      </c>
      <c r="C55" s="214"/>
      <c r="D55" s="214"/>
      <c r="E55" s="214"/>
      <c r="F55" s="214"/>
    </row>
    <row r="56" spans="2:6" x14ac:dyDescent="0.15">
      <c r="B56" s="214"/>
      <c r="C56" s="214"/>
      <c r="D56" s="214"/>
      <c r="E56" s="214"/>
      <c r="F56" s="214"/>
    </row>
    <row r="57" spans="2:6" x14ac:dyDescent="0.15">
      <c r="B57" s="218" t="s">
        <v>677</v>
      </c>
      <c r="C57" s="214"/>
      <c r="D57" s="214"/>
      <c r="E57" s="214"/>
      <c r="F57" s="214"/>
    </row>
    <row r="59" spans="2:6" x14ac:dyDescent="0.15">
      <c r="B59" s="211" t="s">
        <v>678</v>
      </c>
      <c r="C59" s="207">
        <f>AVERAGE(E45:E54)</f>
        <v>2.6</v>
      </c>
      <c r="D59" s="207" t="s">
        <v>12</v>
      </c>
    </row>
    <row r="60" spans="2:6" x14ac:dyDescent="0.15">
      <c r="B60" s="211" t="s">
        <v>680</v>
      </c>
      <c r="C60" s="219">
        <f>AVERAGE(C59,C6)</f>
        <v>2.2766666666666664</v>
      </c>
      <c r="D60" s="207" t="s">
        <v>12</v>
      </c>
    </row>
    <row r="62" spans="2:6" x14ac:dyDescent="0.15">
      <c r="B62" s="207" t="s">
        <v>681</v>
      </c>
      <c r="C62" s="220">
        <v>0.08</v>
      </c>
      <c r="D62" s="207" t="s">
        <v>686</v>
      </c>
    </row>
    <row r="63" spans="2:6" x14ac:dyDescent="0.15">
      <c r="B63" s="207" t="s">
        <v>682</v>
      </c>
      <c r="C63" s="221">
        <f>1.5%</f>
        <v>1.4999999999999999E-2</v>
      </c>
      <c r="D63" s="207" t="s">
        <v>685</v>
      </c>
    </row>
    <row r="64" spans="2:6" x14ac:dyDescent="0.15">
      <c r="B64" s="211" t="s">
        <v>683</v>
      </c>
      <c r="C64" s="222">
        <f>(1+C62)*(1+C63)-1</f>
        <v>9.6200000000000063E-2</v>
      </c>
    </row>
  </sheetData>
  <mergeCells count="8">
    <mergeCell ref="B15:F15"/>
    <mergeCell ref="B16:F16"/>
    <mergeCell ref="B17:F17"/>
    <mergeCell ref="B18:B19"/>
    <mergeCell ref="C18:D18"/>
    <mergeCell ref="E18:F18"/>
    <mergeCell ref="C19:D19"/>
    <mergeCell ref="E19:F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A160E-199C-D14D-81F1-3FE53A02C39C}">
  <dimension ref="B4:AJ107"/>
  <sheetViews>
    <sheetView tabSelected="1" topLeftCell="A8" zoomScale="75" zoomScaleNormal="98" workbookViewId="0">
      <selection activeCell="H47" sqref="H47"/>
    </sheetView>
  </sheetViews>
  <sheetFormatPr baseColWidth="10" defaultRowHeight="16" x14ac:dyDescent="0.2"/>
  <cols>
    <col min="1" max="1" width="10.83203125" style="2"/>
    <col min="2" max="2" width="29.5" style="2" bestFit="1" customWidth="1"/>
    <col min="3" max="3" width="18" style="2" bestFit="1" customWidth="1"/>
    <col min="4" max="4" width="16" style="2" bestFit="1" customWidth="1"/>
    <col min="5" max="5" width="14.1640625" style="2" bestFit="1" customWidth="1"/>
    <col min="6" max="7" width="10.83203125" style="2"/>
    <col min="8" max="8" width="40.5" style="2" bestFit="1" customWidth="1"/>
    <col min="9" max="9" width="23.33203125" style="2" bestFit="1" customWidth="1"/>
    <col min="10" max="11" width="21.1640625" style="2" bestFit="1" customWidth="1"/>
    <col min="12" max="12" width="22.1640625" style="2" bestFit="1" customWidth="1"/>
    <col min="13" max="13" width="27.6640625" style="2" bestFit="1" customWidth="1"/>
    <col min="14" max="21" width="22.1640625" style="2" bestFit="1" customWidth="1"/>
    <col min="22" max="37" width="22" style="2" bestFit="1" customWidth="1"/>
    <col min="38" max="58" width="11" style="2" bestFit="1" customWidth="1"/>
    <col min="59" max="16384" width="10.83203125" style="2"/>
  </cols>
  <sheetData>
    <row r="4" spans="2:36" x14ac:dyDescent="0.2">
      <c r="H4" s="12" t="s">
        <v>66</v>
      </c>
      <c r="I4" s="12">
        <v>2025</v>
      </c>
      <c r="J4" s="12">
        <v>2026</v>
      </c>
      <c r="K4" s="12">
        <v>2027</v>
      </c>
      <c r="L4" s="12">
        <v>2028</v>
      </c>
      <c r="M4" s="12">
        <v>2029</v>
      </c>
      <c r="N4" s="12">
        <v>2030</v>
      </c>
      <c r="O4" s="12">
        <v>2031</v>
      </c>
      <c r="P4" s="12">
        <v>2032</v>
      </c>
      <c r="Q4" s="12">
        <v>2033</v>
      </c>
      <c r="R4" s="12">
        <v>2034</v>
      </c>
      <c r="S4" s="12">
        <v>2035</v>
      </c>
      <c r="T4" s="12">
        <v>2036</v>
      </c>
      <c r="U4" s="12">
        <v>2037</v>
      </c>
      <c r="V4" s="12">
        <v>2038</v>
      </c>
      <c r="W4" s="12">
        <v>2039</v>
      </c>
      <c r="X4" s="12">
        <v>2040</v>
      </c>
      <c r="Y4" s="12">
        <v>2041</v>
      </c>
      <c r="Z4" s="12">
        <v>2042</v>
      </c>
      <c r="AA4" s="12">
        <v>2043</v>
      </c>
      <c r="AB4" s="12">
        <v>2044</v>
      </c>
      <c r="AC4" s="12">
        <v>2045</v>
      </c>
      <c r="AD4" s="12">
        <v>2046</v>
      </c>
      <c r="AE4" s="12">
        <v>2047</v>
      </c>
      <c r="AF4" s="12">
        <v>2048</v>
      </c>
      <c r="AG4" s="12">
        <v>2049</v>
      </c>
      <c r="AH4" s="12">
        <v>2050</v>
      </c>
      <c r="AI4" s="12">
        <v>2051</v>
      </c>
      <c r="AJ4" s="12">
        <v>2052</v>
      </c>
    </row>
    <row r="5" spans="2:36" x14ac:dyDescent="0.2">
      <c r="H5" s="144" t="s">
        <v>67</v>
      </c>
      <c r="I5" s="50">
        <v>0</v>
      </c>
      <c r="J5" s="50">
        <v>1</v>
      </c>
      <c r="K5" s="50">
        <v>2</v>
      </c>
      <c r="L5" s="50">
        <v>3</v>
      </c>
      <c r="M5" s="50">
        <v>4</v>
      </c>
      <c r="N5" s="50">
        <v>5</v>
      </c>
      <c r="O5" s="50">
        <v>6</v>
      </c>
      <c r="P5" s="50">
        <v>7</v>
      </c>
      <c r="Q5" s="50">
        <v>8</v>
      </c>
      <c r="R5" s="50">
        <v>9</v>
      </c>
      <c r="S5" s="50">
        <v>10</v>
      </c>
      <c r="T5" s="50">
        <v>11</v>
      </c>
      <c r="U5" s="50">
        <v>12</v>
      </c>
      <c r="V5" s="50">
        <v>13</v>
      </c>
      <c r="W5" s="50">
        <v>14</v>
      </c>
      <c r="X5" s="50">
        <v>15</v>
      </c>
      <c r="Y5" s="50">
        <v>16</v>
      </c>
      <c r="Z5" s="50">
        <v>17</v>
      </c>
      <c r="AA5" s="50">
        <v>18</v>
      </c>
      <c r="AB5" s="50">
        <v>19</v>
      </c>
      <c r="AC5" s="50">
        <v>20</v>
      </c>
      <c r="AD5" s="50">
        <v>21</v>
      </c>
      <c r="AE5" s="50">
        <v>22</v>
      </c>
      <c r="AF5" s="50">
        <v>23</v>
      </c>
      <c r="AG5" s="50">
        <v>24</v>
      </c>
      <c r="AH5" s="50">
        <v>25</v>
      </c>
      <c r="AI5" s="50">
        <v>26</v>
      </c>
      <c r="AJ5" s="50">
        <v>27</v>
      </c>
    </row>
    <row r="6" spans="2:36" x14ac:dyDescent="0.2">
      <c r="H6" s="50" t="s">
        <v>157</v>
      </c>
      <c r="I6" s="50">
        <f>1</f>
        <v>1</v>
      </c>
      <c r="J6" s="50">
        <f>(1+'Input Parameters'!$D$37)^J5</f>
        <v>1.0149999999999999</v>
      </c>
      <c r="K6" s="50">
        <f>(1+'Input Parameters'!$D$37)^K5</f>
        <v>1.0302249999999997</v>
      </c>
      <c r="L6" s="50">
        <f>(1+'Input Parameters'!$D$37)^L5</f>
        <v>1.0456783749999996</v>
      </c>
      <c r="M6" s="50">
        <f>(1+'Input Parameters'!$D$37)^M5</f>
        <v>1.0613635506249994</v>
      </c>
      <c r="N6" s="50">
        <f>(1+'Input Parameters'!$D$37)^N5</f>
        <v>1.0772840038843743</v>
      </c>
      <c r="O6" s="50">
        <f>(1+'Input Parameters'!$D$37)^O5</f>
        <v>1.0934432639426397</v>
      </c>
      <c r="P6" s="50">
        <f>(1+'Input Parameters'!$D$37)^P5</f>
        <v>1.1098449129017791</v>
      </c>
      <c r="Q6" s="50">
        <f>(1+'Input Parameters'!$D$37)^Q5</f>
        <v>1.1264925865953057</v>
      </c>
      <c r="R6" s="50">
        <f>(1+'Input Parameters'!$D$37)^R5</f>
        <v>1.1433899753942351</v>
      </c>
      <c r="S6" s="50">
        <f>(1+'Input Parameters'!$D$37)^S5</f>
        <v>1.1605408250251485</v>
      </c>
      <c r="T6" s="50">
        <f>(1+'Input Parameters'!$D$37)^T5</f>
        <v>1.1779489374005256</v>
      </c>
      <c r="U6" s="50">
        <f>(1+'Input Parameters'!$D$37)^U5</f>
        <v>1.1956181714615333</v>
      </c>
      <c r="V6" s="50">
        <f>(1+'Input Parameters'!$D$37)^V5</f>
        <v>1.2135524440334562</v>
      </c>
      <c r="W6" s="50">
        <f>(1+'Input Parameters'!$D$37)^W5</f>
        <v>1.2317557306939577</v>
      </c>
      <c r="X6" s="50">
        <f>(1+'Input Parameters'!$D$37)^X5</f>
        <v>1.2502320666543669</v>
      </c>
      <c r="Y6" s="50">
        <f>(1+'Input Parameters'!$D$37)^Y5</f>
        <v>1.2689855476541823</v>
      </c>
      <c r="Z6" s="50">
        <f>(1+'Input Parameters'!$D$37)^Z5</f>
        <v>1.2880203308689948</v>
      </c>
      <c r="AA6" s="50">
        <f>(1+'Input Parameters'!$D$37)^AA5</f>
        <v>1.3073406358320296</v>
      </c>
      <c r="AB6" s="50">
        <f>(1+'Input Parameters'!$D$37)^AB5</f>
        <v>1.32695074536951</v>
      </c>
      <c r="AC6" s="50">
        <f>(1+'Input Parameters'!$D$37)^AC5</f>
        <v>1.3468550065500522</v>
      </c>
      <c r="AD6" s="50">
        <f>(1+'Input Parameters'!$D$37)^AD5</f>
        <v>1.3670578316483029</v>
      </c>
      <c r="AE6" s="50">
        <f>(1+'Input Parameters'!$D$37)^AE5</f>
        <v>1.3875636991230271</v>
      </c>
      <c r="AF6" s="50">
        <f>(1+'Input Parameters'!$D$37)^AF5</f>
        <v>1.4083771546098725</v>
      </c>
      <c r="AG6" s="50">
        <f>(1+'Input Parameters'!$D$37)^AG5</f>
        <v>1.4295028119290203</v>
      </c>
      <c r="AH6" s="50">
        <f>(1+'Input Parameters'!$D$37)^AH5</f>
        <v>1.4509453541079556</v>
      </c>
      <c r="AI6" s="50">
        <f>(1+'Input Parameters'!$D$37)^AI5</f>
        <v>1.4727095344195746</v>
      </c>
      <c r="AJ6" s="50">
        <f>(1+'Input Parameters'!$D$37)^AJ5</f>
        <v>1.4948001774358681</v>
      </c>
    </row>
    <row r="7" spans="2:36" x14ac:dyDescent="0.2">
      <c r="H7" s="50" t="s">
        <v>687</v>
      </c>
      <c r="I7" s="50">
        <f>1</f>
        <v>1</v>
      </c>
      <c r="J7" s="50">
        <v>1</v>
      </c>
      <c r="K7" s="50">
        <v>1</v>
      </c>
      <c r="L7" s="50">
        <v>1</v>
      </c>
      <c r="M7" s="50">
        <v>1</v>
      </c>
      <c r="N7" s="50">
        <v>1</v>
      </c>
      <c r="O7" s="50">
        <f>N7*(1+'Inflation and WACC'!$C$63)</f>
        <v>1.0149999999999999</v>
      </c>
      <c r="P7" s="50">
        <f>O7*(1+'Inflation and WACC'!$C$63)</f>
        <v>1.0302249999999997</v>
      </c>
      <c r="Q7" s="50">
        <f>P7*(1+'Inflation and WACC'!$C$63)</f>
        <v>1.0456783749999996</v>
      </c>
      <c r="R7" s="50">
        <f>Q7*(1+'Inflation and WACC'!$C$63)</f>
        <v>1.0613635506249994</v>
      </c>
      <c r="S7" s="50">
        <f>R7*(1+'Inflation and WACC'!$C$63)</f>
        <v>1.0772840038843743</v>
      </c>
      <c r="T7" s="50">
        <f>S7*(1+'Inflation and WACC'!$C$63)</f>
        <v>1.0934432639426397</v>
      </c>
      <c r="U7" s="50">
        <f>T7*(1+'Inflation and WACC'!$C$63)</f>
        <v>1.1098449129017791</v>
      </c>
      <c r="V7" s="50">
        <f>U7*(1+'Inflation and WACC'!$C$63)</f>
        <v>1.1264925865953057</v>
      </c>
      <c r="W7" s="50">
        <f>V7*(1+'Inflation and WACC'!$C$63)</f>
        <v>1.1433899753942351</v>
      </c>
      <c r="X7" s="50">
        <f>W7*(1+'Inflation and WACC'!$C$63)</f>
        <v>1.1605408250251485</v>
      </c>
      <c r="Y7" s="50">
        <f>X7*(1+'Inflation and WACC'!$C$63)</f>
        <v>1.1779489374005256</v>
      </c>
      <c r="Z7" s="50">
        <f>Y7*(1+'Inflation and WACC'!$C$63)</f>
        <v>1.1956181714615335</v>
      </c>
      <c r="AA7" s="50">
        <f>Z7*(1+'Inflation and WACC'!$C$63)</f>
        <v>1.2135524440334564</v>
      </c>
      <c r="AB7" s="50">
        <f>AA7*(1+'Inflation and WACC'!$C$63)</f>
        <v>1.2317557306939582</v>
      </c>
      <c r="AC7" s="50">
        <f>AB7*(1+'Inflation and WACC'!$C$63)</f>
        <v>1.2502320666543674</v>
      </c>
      <c r="AD7" s="50">
        <f>AC7*(1+'Inflation and WACC'!$C$63)</f>
        <v>1.2689855476541827</v>
      </c>
      <c r="AE7" s="50">
        <f>AD7*(1+'Inflation and WACC'!$C$63)</f>
        <v>1.2880203308689953</v>
      </c>
      <c r="AF7" s="50">
        <f>AE7*(1+'Inflation and WACC'!$C$63)</f>
        <v>1.3073406358320301</v>
      </c>
      <c r="AG7" s="50">
        <f>AF7*(1+'Inflation and WACC'!$C$63)</f>
        <v>1.3269507453695104</v>
      </c>
      <c r="AH7" s="50">
        <f>AG7*(1+'Inflation and WACC'!$C$63)</f>
        <v>1.3468550065500529</v>
      </c>
      <c r="AI7" s="50">
        <f>AH7*(1+'Inflation and WACC'!$C$63)</f>
        <v>1.3670578316483035</v>
      </c>
      <c r="AJ7" s="50">
        <f>AI7*(1+'Inflation and WACC'!$C$63)</f>
        <v>1.387563699123028</v>
      </c>
    </row>
    <row r="8" spans="2:36" ht="24" thickBot="1" x14ac:dyDescent="0.3">
      <c r="B8" s="249" t="s">
        <v>163</v>
      </c>
      <c r="C8" s="249"/>
      <c r="D8" s="249"/>
      <c r="E8" s="249"/>
      <c r="H8" s="47" t="s">
        <v>287</v>
      </c>
      <c r="I8" s="47">
        <f>SUM(I9:I10)</f>
        <v>103387200</v>
      </c>
      <c r="J8" s="47">
        <f t="shared" ref="J8:AJ8" si="0">SUM(J9:J10)</f>
        <v>78703505.999999985</v>
      </c>
      <c r="K8" s="47">
        <f t="shared" si="0"/>
        <v>79884058.589999974</v>
      </c>
      <c r="L8" s="47">
        <f t="shared" si="0"/>
        <v>0</v>
      </c>
      <c r="M8" s="47">
        <f>SUM(M9:M10)</f>
        <v>0</v>
      </c>
      <c r="N8" s="47">
        <f>SUM(N9:N10)</f>
        <v>0</v>
      </c>
      <c r="O8" s="47">
        <f t="shared" si="0"/>
        <v>0</v>
      </c>
      <c r="P8" s="47">
        <f t="shared" si="0"/>
        <v>0</v>
      </c>
      <c r="Q8" s="47">
        <f t="shared" si="0"/>
        <v>0</v>
      </c>
      <c r="R8" s="47">
        <f t="shared" si="0"/>
        <v>0</v>
      </c>
      <c r="S8" s="47">
        <f t="shared" si="0"/>
        <v>0</v>
      </c>
      <c r="T8" s="47">
        <f t="shared" si="0"/>
        <v>0</v>
      </c>
      <c r="U8" s="47">
        <f t="shared" si="0"/>
        <v>0</v>
      </c>
      <c r="V8" s="47">
        <f t="shared" si="0"/>
        <v>0</v>
      </c>
      <c r="W8" s="47">
        <f t="shared" si="0"/>
        <v>0</v>
      </c>
      <c r="X8" s="47">
        <f t="shared" si="0"/>
        <v>0</v>
      </c>
      <c r="Y8" s="47">
        <f t="shared" si="0"/>
        <v>0</v>
      </c>
      <c r="Z8" s="47">
        <f t="shared" si="0"/>
        <v>0</v>
      </c>
      <c r="AA8" s="47">
        <f t="shared" si="0"/>
        <v>0</v>
      </c>
      <c r="AB8" s="47">
        <f t="shared" si="0"/>
        <v>0</v>
      </c>
      <c r="AC8" s="47">
        <f t="shared" si="0"/>
        <v>0</v>
      </c>
      <c r="AD8" s="47">
        <f t="shared" si="0"/>
        <v>0</v>
      </c>
      <c r="AE8" s="47">
        <f t="shared" si="0"/>
        <v>0</v>
      </c>
      <c r="AF8" s="47">
        <f t="shared" si="0"/>
        <v>0</v>
      </c>
      <c r="AG8" s="47">
        <f t="shared" si="0"/>
        <v>0</v>
      </c>
      <c r="AH8" s="47">
        <f t="shared" si="0"/>
        <v>0</v>
      </c>
      <c r="AI8" s="47">
        <f t="shared" si="0"/>
        <v>0</v>
      </c>
      <c r="AJ8" s="47">
        <f t="shared" si="0"/>
        <v>0</v>
      </c>
    </row>
    <row r="9" spans="2:36" ht="18" thickBot="1" x14ac:dyDescent="0.25">
      <c r="B9" s="10" t="s">
        <v>1</v>
      </c>
      <c r="C9" s="1" t="s">
        <v>2</v>
      </c>
      <c r="D9" s="1" t="s">
        <v>3</v>
      </c>
      <c r="E9" s="1" t="s">
        <v>4</v>
      </c>
      <c r="H9" s="2" t="s">
        <v>136</v>
      </c>
      <c r="I9" s="56">
        <f>0.4*$D$10*1000000*I6</f>
        <v>103387200</v>
      </c>
      <c r="J9" s="56">
        <f>0.3*$D$10*1000000*J6</f>
        <v>78703505.999999985</v>
      </c>
      <c r="K9" s="56">
        <f>0.3*$D$10*1000000*K6</f>
        <v>79884058.589999974</v>
      </c>
    </row>
    <row r="10" spans="2:36" x14ac:dyDescent="0.2">
      <c r="B10" s="2" t="s">
        <v>136</v>
      </c>
      <c r="C10" s="2" t="s">
        <v>49</v>
      </c>
      <c r="D10" s="4">
        <f>'Input Parameters'!D25*'Capture Model'!D7</f>
        <v>258.46800000000002</v>
      </c>
      <c r="E10" s="2" t="s">
        <v>13</v>
      </c>
      <c r="H10" s="2" t="s">
        <v>285</v>
      </c>
      <c r="I10" s="56">
        <f>IF($C$41="Yes",-Policies!$C$15*0.4,0)</f>
        <v>0</v>
      </c>
      <c r="J10" s="56">
        <f>IF($C$41="Yes",-Policies!$C$15*0.3,0)</f>
        <v>0</v>
      </c>
      <c r="K10" s="56">
        <f>IF($C$41="Yes",-Policies!$C$15*0.3,0)</f>
        <v>0</v>
      </c>
    </row>
    <row r="11" spans="2:36" ht="17" thickBot="1" x14ac:dyDescent="0.25">
      <c r="B11" s="2" t="s">
        <v>152</v>
      </c>
      <c r="C11" s="2" t="s">
        <v>54</v>
      </c>
      <c r="D11" s="4">
        <f>D10*'Input Parameters'!D40</f>
        <v>27.646906511489913</v>
      </c>
      <c r="E11" s="2" t="s">
        <v>13</v>
      </c>
      <c r="H11" s="51" t="s">
        <v>286</v>
      </c>
      <c r="I11" s="52">
        <f t="shared" ref="I11:AJ11" si="1">SUM(I12:I16)</f>
        <v>0</v>
      </c>
      <c r="J11" s="52">
        <f t="shared" si="1"/>
        <v>0</v>
      </c>
      <c r="K11" s="52">
        <f t="shared" si="1"/>
        <v>0</v>
      </c>
      <c r="L11" s="52">
        <f t="shared" si="1"/>
        <v>101485488.10481845</v>
      </c>
      <c r="M11" s="52">
        <f t="shared" si="1"/>
        <v>102211091.98808844</v>
      </c>
      <c r="N11" s="52">
        <f t="shared" si="1"/>
        <v>102947579.92960748</v>
      </c>
      <c r="O11" s="52">
        <f t="shared" si="1"/>
        <v>103695115.19024931</v>
      </c>
      <c r="P11" s="52">
        <f t="shared" si="1"/>
        <v>104453863.47980076</v>
      </c>
      <c r="Q11" s="52">
        <f t="shared" si="1"/>
        <v>105223992.9936955</v>
      </c>
      <c r="R11" s="52">
        <f t="shared" si="1"/>
        <v>106005674.45029864</v>
      </c>
      <c r="S11" s="52">
        <f t="shared" si="1"/>
        <v>106799081.12875083</v>
      </c>
      <c r="T11" s="52">
        <f t="shared" si="1"/>
        <v>107604388.90737981</v>
      </c>
      <c r="U11" s="52">
        <f t="shared" si="1"/>
        <v>108421776.30268821</v>
      </c>
      <c r="V11" s="52">
        <f t="shared" si="1"/>
        <v>109251424.50892627</v>
      </c>
      <c r="W11" s="52">
        <f t="shared" si="1"/>
        <v>110093517.43825787</v>
      </c>
      <c r="X11" s="52">
        <f t="shared" si="1"/>
        <v>110948241.76152945</v>
      </c>
      <c r="Y11" s="52">
        <f t="shared" si="1"/>
        <v>111815786.94965011</v>
      </c>
      <c r="Z11" s="52">
        <f t="shared" si="1"/>
        <v>112696345.31559259</v>
      </c>
      <c r="AA11" s="52">
        <f t="shared" si="1"/>
        <v>113590112.05702418</v>
      </c>
      <c r="AB11" s="52">
        <f t="shared" si="1"/>
        <v>114497285.29957727</v>
      </c>
      <c r="AC11" s="52">
        <f t="shared" si="1"/>
        <v>115418066.14076862</v>
      </c>
      <c r="AD11" s="52">
        <f t="shared" si="1"/>
        <v>116352658.69457787</v>
      </c>
      <c r="AE11" s="52">
        <f t="shared" si="1"/>
        <v>117301270.13669425</v>
      </c>
      <c r="AF11" s="52">
        <f t="shared" si="1"/>
        <v>118264110.75044239</v>
      </c>
      <c r="AG11" s="52">
        <f t="shared" si="1"/>
        <v>119241393.97339673</v>
      </c>
      <c r="AH11" s="52">
        <f t="shared" si="1"/>
        <v>120233336.44469541</v>
      </c>
      <c r="AI11" s="52">
        <f t="shared" si="1"/>
        <v>121240158.05306354</v>
      </c>
      <c r="AJ11" s="52">
        <f t="shared" si="1"/>
        <v>122262081.98555723</v>
      </c>
    </row>
    <row r="12" spans="2:36" x14ac:dyDescent="0.2">
      <c r="B12" s="2" t="s">
        <v>42</v>
      </c>
      <c r="C12" s="2" t="s">
        <v>54</v>
      </c>
      <c r="D12" s="4">
        <f>'Input Parameters'!D26*D10</f>
        <v>7.7540399999999998</v>
      </c>
      <c r="E12" s="2" t="s">
        <v>13</v>
      </c>
      <c r="H12" s="2" t="s">
        <v>42</v>
      </c>
      <c r="I12" s="4">
        <v>0</v>
      </c>
      <c r="J12" s="4">
        <v>0</v>
      </c>
      <c r="K12" s="4">
        <v>0</v>
      </c>
      <c r="L12" s="4">
        <f t="shared" ref="L12:AJ12" si="2">$D$12*1000000*L6</f>
        <v>8108231.9468849972</v>
      </c>
      <c r="M12" s="4">
        <f t="shared" si="2"/>
        <v>8229855.4260882707</v>
      </c>
      <c r="N12" s="4">
        <f t="shared" si="2"/>
        <v>8353303.2574795932</v>
      </c>
      <c r="O12" s="4">
        <f t="shared" si="2"/>
        <v>8478602.8063417859</v>
      </c>
      <c r="P12" s="4">
        <f t="shared" si="2"/>
        <v>8605781.8484369107</v>
      </c>
      <c r="Q12" s="4">
        <f t="shared" si="2"/>
        <v>8734868.5761634652</v>
      </c>
      <c r="R12" s="4">
        <f t="shared" si="2"/>
        <v>8865891.6048059147</v>
      </c>
      <c r="S12" s="4">
        <f t="shared" si="2"/>
        <v>8998879.9788780026</v>
      </c>
      <c r="T12" s="4">
        <f t="shared" si="2"/>
        <v>9133863.1785611715</v>
      </c>
      <c r="U12" s="4">
        <f t="shared" si="2"/>
        <v>9270871.1262395866</v>
      </c>
      <c r="V12" s="4">
        <f t="shared" si="2"/>
        <v>9409934.193133181</v>
      </c>
      <c r="W12" s="4">
        <f t="shared" si="2"/>
        <v>9551083.2060301751</v>
      </c>
      <c r="X12" s="4">
        <f t="shared" si="2"/>
        <v>9694349.4541206267</v>
      </c>
      <c r="Y12" s="4">
        <f t="shared" si="2"/>
        <v>9839764.6959324349</v>
      </c>
      <c r="Z12" s="4">
        <f t="shared" si="2"/>
        <v>9987361.16637142</v>
      </c>
      <c r="AA12" s="4">
        <f t="shared" si="2"/>
        <v>10137171.583866991</v>
      </c>
      <c r="AB12" s="4">
        <f t="shared" si="2"/>
        <v>10289229.157624995</v>
      </c>
      <c r="AC12" s="4">
        <f t="shared" si="2"/>
        <v>10443567.594989367</v>
      </c>
      <c r="AD12" s="4">
        <f t="shared" si="2"/>
        <v>10600221.108914206</v>
      </c>
      <c r="AE12" s="4">
        <f t="shared" si="2"/>
        <v>10759224.425547916</v>
      </c>
      <c r="AF12" s="4">
        <f t="shared" si="2"/>
        <v>10920612.791931136</v>
      </c>
      <c r="AG12" s="4">
        <f t="shared" si="2"/>
        <v>11084421.983810101</v>
      </c>
      <c r="AH12" s="4">
        <f t="shared" si="2"/>
        <v>11250688.313567251</v>
      </c>
      <c r="AI12" s="4">
        <f t="shared" si="2"/>
        <v>11419448.638270758</v>
      </c>
      <c r="AJ12" s="4">
        <f t="shared" si="2"/>
        <v>11590740.367844818</v>
      </c>
    </row>
    <row r="13" spans="2:36" x14ac:dyDescent="0.2">
      <c r="B13" s="2" t="s">
        <v>38</v>
      </c>
      <c r="C13" s="2" t="s">
        <v>54</v>
      </c>
      <c r="D13" s="4">
        <f>'Input Parameters'!D27*'Capture Model'!D6/1000000</f>
        <v>2.1410244781200003</v>
      </c>
      <c r="E13" s="2" t="s">
        <v>13</v>
      </c>
      <c r="H13" s="2" t="s">
        <v>290</v>
      </c>
      <c r="I13" s="4">
        <v>0</v>
      </c>
      <c r="J13" s="4">
        <v>0</v>
      </c>
      <c r="K13" s="4">
        <v>0</v>
      </c>
      <c r="L13" s="4">
        <f t="shared" ref="L13:AJ13" si="3">($D$13)*1000000*L6</f>
        <v>2238822.9971157438</v>
      </c>
      <c r="M13" s="4">
        <f t="shared" si="3"/>
        <v>2272405.3420724799</v>
      </c>
      <c r="N13" s="4">
        <f t="shared" si="3"/>
        <v>2306491.4222035664</v>
      </c>
      <c r="O13" s="4">
        <f t="shared" si="3"/>
        <v>2341088.7935366197</v>
      </c>
      <c r="P13" s="4">
        <f t="shared" si="3"/>
        <v>2376205.1254396685</v>
      </c>
      <c r="Q13" s="4">
        <f t="shared" si="3"/>
        <v>2411848.2023212635</v>
      </c>
      <c r="R13" s="4">
        <f t="shared" si="3"/>
        <v>2448025.9253560822</v>
      </c>
      <c r="S13" s="4">
        <f t="shared" si="3"/>
        <v>2484746.314236423</v>
      </c>
      <c r="T13" s="4">
        <f t="shared" si="3"/>
        <v>2522017.508949969</v>
      </c>
      <c r="U13" s="4">
        <f t="shared" si="3"/>
        <v>2559847.7715842179</v>
      </c>
      <c r="V13" s="4">
        <f t="shared" si="3"/>
        <v>2598245.4881579811</v>
      </c>
      <c r="W13" s="4">
        <f t="shared" si="3"/>
        <v>2637219.17048035</v>
      </c>
      <c r="X13" s="4">
        <f t="shared" si="3"/>
        <v>2676777.4580375552</v>
      </c>
      <c r="Y13" s="4">
        <f t="shared" si="3"/>
        <v>2716929.1199081182</v>
      </c>
      <c r="Z13" s="4">
        <f t="shared" si="3"/>
        <v>2757683.0567067396</v>
      </c>
      <c r="AA13" s="4">
        <f t="shared" si="3"/>
        <v>2799048.3025573404</v>
      </c>
      <c r="AB13" s="4">
        <f t="shared" si="3"/>
        <v>2841034.0270957001</v>
      </c>
      <c r="AC13" s="4">
        <f t="shared" si="3"/>
        <v>2883649.5375021347</v>
      </c>
      <c r="AD13" s="4">
        <f t="shared" si="3"/>
        <v>2926904.2805646667</v>
      </c>
      <c r="AE13" s="4">
        <f t="shared" si="3"/>
        <v>2970807.8447731361</v>
      </c>
      <c r="AF13" s="4">
        <f t="shared" si="3"/>
        <v>3015369.9624447329</v>
      </c>
      <c r="AG13" s="4">
        <f t="shared" si="3"/>
        <v>3060600.5118814032</v>
      </c>
      <c r="AH13" s="4">
        <f t="shared" si="3"/>
        <v>3106509.5195596241</v>
      </c>
      <c r="AI13" s="4">
        <f t="shared" si="3"/>
        <v>3153107.1623530183</v>
      </c>
      <c r="AJ13" s="4">
        <f t="shared" si="3"/>
        <v>3200403.7697883132</v>
      </c>
    </row>
    <row r="14" spans="2:36" x14ac:dyDescent="0.2">
      <c r="B14" s="2" t="s">
        <v>376</v>
      </c>
      <c r="C14" s="2" t="s">
        <v>54</v>
      </c>
      <c r="D14" s="4">
        <f>IF(C37="Germany",'Capture Model'!D22*'Input Parameters'!D15,'Capture Model'!D22*'Input Parameters'!D14)/1000</f>
        <v>32.799510625727997</v>
      </c>
      <c r="E14" s="2" t="s">
        <v>13</v>
      </c>
      <c r="H14" s="2" t="s">
        <v>288</v>
      </c>
      <c r="I14" s="4">
        <v>0</v>
      </c>
      <c r="J14" s="4">
        <v>0</v>
      </c>
      <c r="K14" s="4">
        <v>0</v>
      </c>
      <c r="L14" s="4">
        <f t="shared" ref="L14:AJ14" si="4">$D$14*1000000*L6</f>
        <v>34297738.971906468</v>
      </c>
      <c r="M14" s="4">
        <f t="shared" si="4"/>
        <v>34812205.056485064</v>
      </c>
      <c r="N14" s="4">
        <f t="shared" si="4"/>
        <v>35334388.132332332</v>
      </c>
      <c r="O14" s="4">
        <f t="shared" si="4"/>
        <v>35864403.954317309</v>
      </c>
      <c r="P14" s="4">
        <f t="shared" si="4"/>
        <v>36402370.013632067</v>
      </c>
      <c r="Q14" s="4">
        <f t="shared" si="4"/>
        <v>36948405.563836545</v>
      </c>
      <c r="R14" s="4">
        <f t="shared" si="4"/>
        <v>37502631.647294089</v>
      </c>
      <c r="S14" s="4">
        <f t="shared" si="4"/>
        <v>38065171.122003496</v>
      </c>
      <c r="T14" s="4">
        <f t="shared" si="4"/>
        <v>38636148.688833542</v>
      </c>
      <c r="U14" s="4">
        <f t="shared" si="4"/>
        <v>39215690.919166036</v>
      </c>
      <c r="V14" s="4">
        <f t="shared" si="4"/>
        <v>39803926.282953523</v>
      </c>
      <c r="W14" s="4">
        <f t="shared" si="4"/>
        <v>40400985.177197821</v>
      </c>
      <c r="X14" s="4">
        <f t="shared" si="4"/>
        <v>41006999.954855777</v>
      </c>
      <c r="Y14" s="4">
        <f t="shared" si="4"/>
        <v>41622104.954178609</v>
      </c>
      <c r="Z14" s="4">
        <f t="shared" si="4"/>
        <v>42246436.528491288</v>
      </c>
      <c r="AA14" s="4">
        <f t="shared" si="4"/>
        <v>42880133.076418653</v>
      </c>
      <c r="AB14" s="4">
        <f t="shared" si="4"/>
        <v>43523335.07256493</v>
      </c>
      <c r="AC14" s="4">
        <f t="shared" si="4"/>
        <v>44176185.098653384</v>
      </c>
      <c r="AD14" s="4">
        <f t="shared" si="4"/>
        <v>44838827.875133187</v>
      </c>
      <c r="AE14" s="4">
        <f t="shared" si="4"/>
        <v>45511410.293260172</v>
      </c>
      <c r="AF14" s="4">
        <f t="shared" si="4"/>
        <v>46194081.447659075</v>
      </c>
      <c r="AG14" s="4">
        <f t="shared" si="4"/>
        <v>46886992.669373952</v>
      </c>
      <c r="AH14" s="4">
        <f t="shared" si="4"/>
        <v>47590297.559414558</v>
      </c>
      <c r="AI14" s="4">
        <f t="shared" si="4"/>
        <v>48304152.022805765</v>
      </c>
      <c r="AJ14" s="4">
        <f t="shared" si="4"/>
        <v>49028714.303147852</v>
      </c>
    </row>
    <row r="15" spans="2:36" x14ac:dyDescent="0.2">
      <c r="B15" s="2" t="s">
        <v>70</v>
      </c>
      <c r="C15" s="2" t="s">
        <v>54</v>
      </c>
      <c r="D15" s="4">
        <f>IF(C37="Germany",'Capture Model'!D26*'Input Parameters'!D17,'Capture Model'!D26*'Input Parameters'!D16)/1000</f>
        <v>3.5659131825240009</v>
      </c>
      <c r="E15" s="2" t="s">
        <v>13</v>
      </c>
      <c r="H15" s="2" t="s">
        <v>289</v>
      </c>
      <c r="I15" s="4">
        <v>0</v>
      </c>
      <c r="J15" s="4">
        <v>0</v>
      </c>
      <c r="K15" s="4">
        <v>0</v>
      </c>
      <c r="L15" s="4">
        <f>$D$15*1000000*L6</f>
        <v>3728798.3020927743</v>
      </c>
      <c r="M15" s="4">
        <f t="shared" ref="M15:AJ15" si="5">$D$15*1000000*M6</f>
        <v>3784730.276624165</v>
      </c>
      <c r="N15" s="4">
        <f t="shared" si="5"/>
        <v>3841501.2307735272</v>
      </c>
      <c r="O15" s="4">
        <f t="shared" si="5"/>
        <v>3899123.7492351294</v>
      </c>
      <c r="P15" s="4">
        <f t="shared" si="5"/>
        <v>3957610.6054736557</v>
      </c>
      <c r="Q15" s="4">
        <f t="shared" si="5"/>
        <v>4016974.7645557602</v>
      </c>
      <c r="R15" s="4">
        <f t="shared" si="5"/>
        <v>4077229.386024096</v>
      </c>
      <c r="S15" s="4">
        <f t="shared" si="5"/>
        <v>4138387.8268144568</v>
      </c>
      <c r="T15" s="4">
        <f t="shared" si="5"/>
        <v>4200463.6442166734</v>
      </c>
      <c r="U15" s="4">
        <f t="shared" si="5"/>
        <v>4263470.5988799222</v>
      </c>
      <c r="V15" s="4">
        <f t="shared" si="5"/>
        <v>4327422.6578631215</v>
      </c>
      <c r="W15" s="4">
        <f t="shared" si="5"/>
        <v>4392333.9977310663</v>
      </c>
      <c r="X15" s="4">
        <f t="shared" si="5"/>
        <v>4458219.0076970318</v>
      </c>
      <c r="Y15" s="4">
        <f t="shared" si="5"/>
        <v>4525092.2928124871</v>
      </c>
      <c r="Z15" s="4">
        <f t="shared" si="5"/>
        <v>4592968.6772046741</v>
      </c>
      <c r="AA15" s="4">
        <f t="shared" si="5"/>
        <v>4661863.2073627431</v>
      </c>
      <c r="AB15" s="4">
        <f t="shared" si="5"/>
        <v>4731791.1554731838</v>
      </c>
      <c r="AC15" s="4">
        <f t="shared" si="5"/>
        <v>4802768.0228052801</v>
      </c>
      <c r="AD15" s="4">
        <f t="shared" si="5"/>
        <v>4874809.543147359</v>
      </c>
      <c r="AE15" s="4">
        <f t="shared" si="5"/>
        <v>4947931.6862945687</v>
      </c>
      <c r="AF15" s="4">
        <f t="shared" si="5"/>
        <v>5022150.6615889873</v>
      </c>
      <c r="AG15" s="4">
        <f t="shared" si="5"/>
        <v>5097482.9215128208</v>
      </c>
      <c r="AH15" s="4">
        <f t="shared" si="5"/>
        <v>5173945.1653355127</v>
      </c>
      <c r="AI15" s="4">
        <f t="shared" si="5"/>
        <v>5251554.3428155445</v>
      </c>
      <c r="AJ15" s="4">
        <f t="shared" si="5"/>
        <v>5330327.6579577774</v>
      </c>
    </row>
    <row r="16" spans="2:36" x14ac:dyDescent="0.2">
      <c r="B16" s="2" t="s">
        <v>58</v>
      </c>
      <c r="C16" s="2" t="s">
        <v>54</v>
      </c>
      <c r="D16" s="4">
        <f>I39*'Capture Model'!D6/1000000</f>
        <v>53.111895886818459</v>
      </c>
      <c r="E16" s="2" t="s">
        <v>13</v>
      </c>
      <c r="H16" s="2" t="s">
        <v>160</v>
      </c>
      <c r="I16" s="4">
        <v>0</v>
      </c>
      <c r="J16" s="4">
        <v>0</v>
      </c>
      <c r="K16" s="4">
        <v>0</v>
      </c>
      <c r="L16" s="4">
        <f>IF($C$39="Yes",$D$16*1000000,0)</f>
        <v>53111895.886818461</v>
      </c>
      <c r="M16" s="4">
        <f t="shared" ref="M16:AJ16" si="6">IF($C$39="Yes",$D$16*1000000,0)</f>
        <v>53111895.886818461</v>
      </c>
      <c r="N16" s="4">
        <f t="shared" si="6"/>
        <v>53111895.886818461</v>
      </c>
      <c r="O16" s="4">
        <f t="shared" si="6"/>
        <v>53111895.886818461</v>
      </c>
      <c r="P16" s="4">
        <f t="shared" si="6"/>
        <v>53111895.886818461</v>
      </c>
      <c r="Q16" s="4">
        <f t="shared" si="6"/>
        <v>53111895.886818461</v>
      </c>
      <c r="R16" s="4">
        <f t="shared" si="6"/>
        <v>53111895.886818461</v>
      </c>
      <c r="S16" s="4">
        <f t="shared" si="6"/>
        <v>53111895.886818461</v>
      </c>
      <c r="T16" s="4">
        <f t="shared" si="6"/>
        <v>53111895.886818461</v>
      </c>
      <c r="U16" s="4">
        <f t="shared" si="6"/>
        <v>53111895.886818461</v>
      </c>
      <c r="V16" s="4">
        <f t="shared" si="6"/>
        <v>53111895.886818461</v>
      </c>
      <c r="W16" s="4">
        <f t="shared" si="6"/>
        <v>53111895.886818461</v>
      </c>
      <c r="X16" s="4">
        <f t="shared" si="6"/>
        <v>53111895.886818461</v>
      </c>
      <c r="Y16" s="4">
        <f t="shared" si="6"/>
        <v>53111895.886818461</v>
      </c>
      <c r="Z16" s="4">
        <f t="shared" si="6"/>
        <v>53111895.886818461</v>
      </c>
      <c r="AA16" s="4">
        <f t="shared" si="6"/>
        <v>53111895.886818461</v>
      </c>
      <c r="AB16" s="4">
        <f t="shared" si="6"/>
        <v>53111895.886818461</v>
      </c>
      <c r="AC16" s="4">
        <f t="shared" si="6"/>
        <v>53111895.886818461</v>
      </c>
      <c r="AD16" s="4">
        <f t="shared" si="6"/>
        <v>53111895.886818461</v>
      </c>
      <c r="AE16" s="4">
        <f t="shared" si="6"/>
        <v>53111895.886818461</v>
      </c>
      <c r="AF16" s="4">
        <f t="shared" si="6"/>
        <v>53111895.886818461</v>
      </c>
      <c r="AG16" s="4">
        <f t="shared" si="6"/>
        <v>53111895.886818461</v>
      </c>
      <c r="AH16" s="4">
        <f t="shared" si="6"/>
        <v>53111895.886818461</v>
      </c>
      <c r="AI16" s="4">
        <f t="shared" si="6"/>
        <v>53111895.886818461</v>
      </c>
      <c r="AJ16" s="4">
        <f t="shared" si="6"/>
        <v>53111895.886818461</v>
      </c>
    </row>
    <row r="17" spans="2:36" ht="17" thickBot="1" x14ac:dyDescent="0.25">
      <c r="B17" s="2" t="s">
        <v>168</v>
      </c>
      <c r="C17" s="2" t="s">
        <v>155</v>
      </c>
      <c r="D17" s="4" cm="1">
        <f t="array" ref="D17">_xlfn.XLOOKUP(1,('Transport and Storage'!R5:R16=C37)*('Transport and Storage'!S5:S16=C38)*('Transport and Storage'!T5:T16=C40),'Transport and Storage'!U5:U16)</f>
        <v>71.939625000000007</v>
      </c>
      <c r="E17" s="2" t="s">
        <v>13</v>
      </c>
      <c r="H17" s="25" t="s">
        <v>206</v>
      </c>
      <c r="I17" s="26">
        <f>SUM(I18:I21)</f>
        <v>0</v>
      </c>
      <c r="J17" s="26">
        <f>SUM(J18:J21)</f>
        <v>0</v>
      </c>
      <c r="K17" s="26">
        <f>SUM(K18:K21)</f>
        <v>0</v>
      </c>
      <c r="L17" s="26">
        <f>SUM(L18:L22)</f>
        <v>-43807344.543037876</v>
      </c>
      <c r="M17" s="26">
        <f t="shared" ref="M17:AJ17" si="7">SUM(M18:M22)</f>
        <v>-43807344.543037876</v>
      </c>
      <c r="N17" s="26">
        <f t="shared" si="7"/>
        <v>-43807344.543037876</v>
      </c>
      <c r="O17" s="26">
        <f t="shared" si="7"/>
        <v>-43807344.543037876</v>
      </c>
      <c r="P17" s="26">
        <f t="shared" si="7"/>
        <v>-43807344.543037876</v>
      </c>
      <c r="Q17" s="26">
        <f t="shared" si="7"/>
        <v>-43807344.543037876</v>
      </c>
      <c r="R17" s="26">
        <f t="shared" si="7"/>
        <v>-43807344.543037876</v>
      </c>
      <c r="S17" s="26">
        <f t="shared" si="7"/>
        <v>-43807344.543037876</v>
      </c>
      <c r="T17" s="26">
        <f t="shared" si="7"/>
        <v>-43807344.543037876</v>
      </c>
      <c r="U17" s="26">
        <f t="shared" si="7"/>
        <v>-43807344.543037876</v>
      </c>
      <c r="V17" s="26">
        <f t="shared" si="7"/>
        <v>-43807344.543037876</v>
      </c>
      <c r="W17" s="26">
        <f t="shared" si="7"/>
        <v>-43807344.543037876</v>
      </c>
      <c r="X17" s="26">
        <f t="shared" si="7"/>
        <v>-43807344.543037876</v>
      </c>
      <c r="Y17" s="26">
        <f t="shared" si="7"/>
        <v>-43807344.543037876</v>
      </c>
      <c r="Z17" s="26">
        <f t="shared" si="7"/>
        <v>-43807344.543037876</v>
      </c>
      <c r="AA17" s="26">
        <f t="shared" si="7"/>
        <v>-43807344.543037876</v>
      </c>
      <c r="AB17" s="26">
        <f t="shared" si="7"/>
        <v>-43807344.543037876</v>
      </c>
      <c r="AC17" s="26">
        <f t="shared" si="7"/>
        <v>-43807344.543037876</v>
      </c>
      <c r="AD17" s="26">
        <f t="shared" si="7"/>
        <v>-43807344.543037876</v>
      </c>
      <c r="AE17" s="26">
        <f t="shared" si="7"/>
        <v>-43807344.543037876</v>
      </c>
      <c r="AF17" s="26">
        <f t="shared" si="7"/>
        <v>-43807344.543037876</v>
      </c>
      <c r="AG17" s="26">
        <f t="shared" si="7"/>
        <v>-43807344.543037876</v>
      </c>
      <c r="AH17" s="26">
        <f t="shared" si="7"/>
        <v>-43807344.543037876</v>
      </c>
      <c r="AI17" s="26">
        <f t="shared" si="7"/>
        <v>-43807344.543037876</v>
      </c>
      <c r="AJ17" s="26">
        <f t="shared" si="7"/>
        <v>-43807344.543037876</v>
      </c>
    </row>
    <row r="18" spans="2:36" x14ac:dyDescent="0.2">
      <c r="B18" s="2" t="s">
        <v>293</v>
      </c>
      <c r="C18" s="2" t="s">
        <v>54</v>
      </c>
      <c r="D18" s="4">
        <f>SUM(I9:K9)/'Input Parameters'!D35/1000000</f>
        <v>10.4789905836</v>
      </c>
      <c r="E18" s="2" t="s">
        <v>294</v>
      </c>
      <c r="H18" s="2" t="s">
        <v>185</v>
      </c>
      <c r="I18" s="24">
        <v>0</v>
      </c>
      <c r="J18" s="24">
        <v>0</v>
      </c>
      <c r="K18" s="24">
        <v>0</v>
      </c>
      <c r="L18" s="24">
        <f>-$D$19*L36</f>
        <v>-43807344.543037876</v>
      </c>
      <c r="M18" s="24">
        <f>-$D$19*M36</f>
        <v>-43807344.543037876</v>
      </c>
      <c r="N18" s="24">
        <f>-$D$19*N36</f>
        <v>-43807344.543037876</v>
      </c>
      <c r="O18" s="24">
        <f>-$D$19*O36</f>
        <v>-43807344.543037876</v>
      </c>
      <c r="P18" s="24">
        <f t="shared" ref="P18:AJ18" si="8">-$D$19*P36</f>
        <v>-43807344.543037876</v>
      </c>
      <c r="Q18" s="24">
        <f t="shared" si="8"/>
        <v>-43807344.543037876</v>
      </c>
      <c r="R18" s="24">
        <f t="shared" si="8"/>
        <v>-43807344.543037876</v>
      </c>
      <c r="S18" s="24">
        <f t="shared" si="8"/>
        <v>-43807344.543037876</v>
      </c>
      <c r="T18" s="24">
        <f t="shared" si="8"/>
        <v>-43807344.543037876</v>
      </c>
      <c r="U18" s="24">
        <f t="shared" si="8"/>
        <v>-43807344.543037876</v>
      </c>
      <c r="V18" s="24">
        <f t="shared" si="8"/>
        <v>-43807344.543037876</v>
      </c>
      <c r="W18" s="24">
        <f t="shared" si="8"/>
        <v>-43807344.543037876</v>
      </c>
      <c r="X18" s="24">
        <f t="shared" si="8"/>
        <v>-43807344.543037876</v>
      </c>
      <c r="Y18" s="24">
        <f t="shared" si="8"/>
        <v>-43807344.543037876</v>
      </c>
      <c r="Z18" s="24">
        <f t="shared" si="8"/>
        <v>-43807344.543037876</v>
      </c>
      <c r="AA18" s="24">
        <f t="shared" si="8"/>
        <v>-43807344.543037876</v>
      </c>
      <c r="AB18" s="24">
        <f t="shared" si="8"/>
        <v>-43807344.543037876</v>
      </c>
      <c r="AC18" s="24">
        <f t="shared" si="8"/>
        <v>-43807344.543037876</v>
      </c>
      <c r="AD18" s="24">
        <f t="shared" si="8"/>
        <v>-43807344.543037876</v>
      </c>
      <c r="AE18" s="24">
        <f t="shared" si="8"/>
        <v>-43807344.543037876</v>
      </c>
      <c r="AF18" s="24">
        <f t="shared" si="8"/>
        <v>-43807344.543037876</v>
      </c>
      <c r="AG18" s="24">
        <f t="shared" si="8"/>
        <v>-43807344.543037876</v>
      </c>
      <c r="AH18" s="24">
        <f t="shared" si="8"/>
        <v>-43807344.543037876</v>
      </c>
      <c r="AI18" s="24">
        <f t="shared" si="8"/>
        <v>-43807344.543037876</v>
      </c>
      <c r="AJ18" s="24">
        <f t="shared" si="8"/>
        <v>-43807344.543037876</v>
      </c>
    </row>
    <row r="19" spans="2:36" x14ac:dyDescent="0.2">
      <c r="B19" s="2" t="s">
        <v>310</v>
      </c>
      <c r="C19" s="2" t="s">
        <v>155</v>
      </c>
      <c r="D19" s="4">
        <f>ETS!C5</f>
        <v>72.16</v>
      </c>
      <c r="E19" s="2" t="s">
        <v>13</v>
      </c>
      <c r="H19" s="2" t="s">
        <v>369</v>
      </c>
      <c r="I19" s="24">
        <v>0</v>
      </c>
      <c r="J19" s="24">
        <v>0</v>
      </c>
      <c r="K19" s="24">
        <v>0</v>
      </c>
      <c r="L19" s="24">
        <f>IF($C$44="Yes",-IF(C37="Denmark",'Input Parameters'!D47*L36,0),0)</f>
        <v>0</v>
      </c>
      <c r="M19" s="24">
        <f>IF($C$44="Yes",-IF(C37="Denmark",'Input Parameters'!D48*M36,0),0)</f>
        <v>0</v>
      </c>
      <c r="N19" s="24">
        <f>IF($C$44="Yes",-IF($C$37="Denmark",'Input Parameters'!$D$49*N36*N7,0),0)</f>
        <v>0</v>
      </c>
      <c r="O19" s="24">
        <f>IF($C$44="Yes",-IF($C$37="Denmark",'Input Parameters'!$D$49*O36*O7,0),0)</f>
        <v>0</v>
      </c>
      <c r="P19" s="24">
        <f>IF($C$44="Yes",-IF($C$37="Denmark",'Input Parameters'!$D$49*P36*P7,0),0)</f>
        <v>0</v>
      </c>
      <c r="Q19" s="24">
        <f>IF($C$44="Yes",-IF($C$37="Denmark",'Input Parameters'!$D$49*Q36*Q7,0),0)</f>
        <v>0</v>
      </c>
      <c r="R19" s="24">
        <f>IF($C$44="Yes",-IF($C$37="Denmark",'Input Parameters'!$D$49*R36*R7,0),0)</f>
        <v>0</v>
      </c>
      <c r="S19" s="24">
        <f>IF($C$44="Yes",-IF($C$37="Denmark",'Input Parameters'!$D$49*S36*S7,0),0)</f>
        <v>0</v>
      </c>
      <c r="T19" s="24">
        <f>IF($C$44="Yes",-IF($C$37="Denmark",'Input Parameters'!$D$49*T36*T7,0),0)</f>
        <v>0</v>
      </c>
      <c r="U19" s="24">
        <f>IF($C$44="Yes",-IF($C$37="Denmark",'Input Parameters'!$D$49*U36*U7,0),0)</f>
        <v>0</v>
      </c>
      <c r="V19" s="24">
        <f>IF($C$44="Yes",-IF($C$37="Denmark",'Input Parameters'!$D$49*V36*V7,0),0)</f>
        <v>0</v>
      </c>
      <c r="W19" s="24">
        <f>IF($C$44="Yes",-IF($C$37="Denmark",'Input Parameters'!$D$49*W36*W7,0),0)</f>
        <v>0</v>
      </c>
      <c r="X19" s="24">
        <f>IF($C$44="Yes",-IF($C$37="Denmark",'Input Parameters'!$D$49*X36*X7,0),0)</f>
        <v>0</v>
      </c>
      <c r="Y19" s="24">
        <f>IF($C$44="Yes",-IF($C$37="Denmark",'Input Parameters'!$D$49*Y36*Y7,0),0)</f>
        <v>0</v>
      </c>
      <c r="Z19" s="24">
        <f>IF($C$44="Yes",-IF($C$37="Denmark",'Input Parameters'!$D$49*Z36*Z7,0),0)</f>
        <v>0</v>
      </c>
      <c r="AA19" s="24">
        <f>IF($C$44="Yes",-IF($C$37="Denmark",'Input Parameters'!$D$49*AA36*AA7,0),0)</f>
        <v>0</v>
      </c>
      <c r="AB19" s="24">
        <f>IF($C$44="Yes",-IF($C$37="Denmark",'Input Parameters'!$D$49*AB36*AB7,0),0)</f>
        <v>0</v>
      </c>
      <c r="AC19" s="24">
        <f>IF($C$44="Yes",-IF($C$37="Denmark",'Input Parameters'!$D$49*AC36*AC7,0),0)</f>
        <v>0</v>
      </c>
      <c r="AD19" s="24">
        <f>IF($C$44="Yes",-IF($C$37="Denmark",'Input Parameters'!$D$49*AD36*AD7,0),0)</f>
        <v>0</v>
      </c>
      <c r="AE19" s="24">
        <f>IF($C$44="Yes",-IF($C$37="Denmark",'Input Parameters'!$D$49*AE36*AE7,0),0)</f>
        <v>0</v>
      </c>
      <c r="AF19" s="24">
        <f>IF($C$44="Yes",-IF($C$37="Denmark",'Input Parameters'!$D$49*AF36*AF7,0),0)</f>
        <v>0</v>
      </c>
      <c r="AG19" s="24">
        <f>IF($C$44="Yes",-IF($C$37="Denmark",'Input Parameters'!$D$49*AG36*AG7,0),0)</f>
        <v>0</v>
      </c>
      <c r="AH19" s="24">
        <f>IF($C$44="Yes",-IF($C$37="Denmark",'Input Parameters'!$D$49*AH36*AH7,0),0)</f>
        <v>0</v>
      </c>
      <c r="AI19" s="24">
        <f>IF($C$44="Yes",-IF($C$37="Denmark",'Input Parameters'!$D$49*AI36*AI7,0),0)</f>
        <v>0</v>
      </c>
      <c r="AJ19" s="24">
        <f>IF($C$44="Yes",-IF($C$37="Denmark",'Input Parameters'!$D$49*AJ36*AJ7,0),0)</f>
        <v>0</v>
      </c>
    </row>
    <row r="20" spans="2:36" x14ac:dyDescent="0.2">
      <c r="D20" s="8"/>
      <c r="H20" s="2" t="s">
        <v>693</v>
      </c>
      <c r="I20" s="24">
        <v>0</v>
      </c>
      <c r="J20" s="24">
        <v>0</v>
      </c>
      <c r="K20" s="24">
        <v>0</v>
      </c>
      <c r="L20" s="24">
        <f>-IF($C$42="Yes",IF($C$37="Germany",IF(L4&lt;2043,(Policies!$C$21-$D$19)*L36,0),0),0)</f>
        <v>0</v>
      </c>
      <c r="M20" s="24">
        <f>-IF($C$42="Yes",IF($C$37="Germany",IF(M4&lt;2043,(Policies!$C$21-$D$19)*M36,0),0),0)</f>
        <v>0</v>
      </c>
      <c r="N20" s="24">
        <f>-IF($C$42="Yes",IF($C$37="Germany",IF(N4&lt;2043,(Policies!$C$21-$D$19)*N36,0),0),0)</f>
        <v>0</v>
      </c>
      <c r="O20" s="24">
        <f>-IF($C$42="Yes",IF($C$37="Germany",IF(O4&lt;2043,(Policies!$C$21-$D$19)*O36,0),0),0)</f>
        <v>0</v>
      </c>
      <c r="P20" s="24">
        <f>-IF($C$42="Yes",IF($C$37="Germany",IF(P4&lt;2043,(Policies!$C$21-$D$19)*P36,0),0),0)</f>
        <v>0</v>
      </c>
      <c r="Q20" s="24">
        <f>-IF($C$42="Yes",IF($C$37="Germany",IF(Q4&lt;2043,(Policies!$C$21-$D$19)*Q36,0),0),0)</f>
        <v>0</v>
      </c>
      <c r="R20" s="24">
        <f>-IF($C$42="Yes",IF($C$37="Germany",IF(R4&lt;2043,(Policies!$C$21-$D$19)*R36,0),0),0)</f>
        <v>0</v>
      </c>
      <c r="S20" s="24">
        <f>-IF($C$42="Yes",IF($C$37="Germany",IF(S4&lt;2043,(Policies!$C$21-$D$19)*S36,0),0),0)</f>
        <v>0</v>
      </c>
      <c r="T20" s="24">
        <f>-IF($C$42="Yes",IF($C$37="Germany",IF(T4&lt;2043,(Policies!$C$21-$D$19)*T36,0),0),0)</f>
        <v>0</v>
      </c>
      <c r="U20" s="24">
        <f>-IF($C$42="Yes",IF($C$37="Germany",IF(U4&lt;2043,(Policies!$C$21-$D$19)*U36,0),0),0)</f>
        <v>0</v>
      </c>
      <c r="V20" s="24">
        <f>-IF($C$42="Yes",IF($C$37="Germany",IF(V4&lt;2043,(Policies!$C$21-$D$19)*V36,0),0),0)</f>
        <v>0</v>
      </c>
      <c r="W20" s="24">
        <f>-IF($C$42="Yes",IF($C$37="Germany",IF(W4&lt;2043,(Policies!$C$21-$D$19)*W36,0),0),0)</f>
        <v>0</v>
      </c>
      <c r="X20" s="24">
        <f>-IF($C$42="Yes",IF($C$37="Germany",IF(X4&lt;2043,(Policies!$C$21-$D$19)*X36,0),0),0)</f>
        <v>0</v>
      </c>
      <c r="Y20" s="24">
        <f>-IF($C$42="Yes",IF($C$37="Germany",IF(Y4&lt;2043,(Policies!$C$21-$D$19)*Y36,0),0),0)</f>
        <v>0</v>
      </c>
      <c r="Z20" s="24">
        <f>-IF($C$42="Yes",IF($C$37="Germany",IF(Z4&lt;2043,(Policies!$C$21-$D$19)*Z36,0),0),0)</f>
        <v>0</v>
      </c>
      <c r="AA20" s="24">
        <f>-IF($C$42="Yes",IF($C$37="Germany",IF(AA4&lt;2043,(Policies!$C$21-$D$19)*AA36,0),0),0)</f>
        <v>0</v>
      </c>
      <c r="AB20" s="24">
        <f>-IF($C$42="Yes",IF($C$37="Germany",IF(AB4&lt;2043,(Policies!$C$21-$D$19)*AB36,0),0),0)</f>
        <v>0</v>
      </c>
      <c r="AC20" s="24">
        <f>-IF($C$42="Yes",IF($C$37="Germany",IF(AC4&lt;2043,(Policies!$C$21-$D$19)*AC36,0),0),0)</f>
        <v>0</v>
      </c>
      <c r="AD20" s="24">
        <f>-IF($C$42="Yes",IF($C$37="Germany",IF(AD4&lt;2043,(Policies!$C$21-$D$19)*AD36,0),0),0)</f>
        <v>0</v>
      </c>
      <c r="AE20" s="24">
        <f>-IF($C$42="Yes",IF($C$37="Germany",IF(AE4&lt;2043,(Policies!$C$21-$D$19)*AE36,0),0),0)</f>
        <v>0</v>
      </c>
      <c r="AF20" s="24">
        <f>-IF($C$42="Yes",IF($C$37="Germany",IF(AF4&lt;2043,(Policies!$C$21-$D$19)*AF36,0),0),0)</f>
        <v>0</v>
      </c>
      <c r="AG20" s="24">
        <f>-IF($C$42="Yes",IF($C$37="Germany",IF(AG4&lt;2043,(Policies!$C$21-$D$19)*AG36,0),0),0)</f>
        <v>0</v>
      </c>
      <c r="AH20" s="24">
        <f>-IF($C$42="Yes",IF($C$37="Germany",IF(AH4&lt;2043,(Policies!$C$21-$D$19)*AH36,0),0),0)</f>
        <v>0</v>
      </c>
      <c r="AI20" s="24">
        <f>-IF($C$42="Yes",IF($C$37="Germany",IF(AI4&lt;2043,(Policies!$C$21-$D$19)*AI36,0),0),0)</f>
        <v>0</v>
      </c>
      <c r="AJ20" s="24">
        <f>-IF($C$42="Yes",IF($C$37="Germany",IF(AJ4&lt;2043,(Policies!$C$21-$D$19)*AJ36,0),0),0)</f>
        <v>0</v>
      </c>
    </row>
    <row r="21" spans="2:36" x14ac:dyDescent="0.2">
      <c r="H21" s="2" t="s">
        <v>692</v>
      </c>
      <c r="I21" s="24">
        <v>0</v>
      </c>
      <c r="J21" s="24">
        <v>0</v>
      </c>
      <c r="K21" s="24">
        <v>0</v>
      </c>
      <c r="L21" s="24">
        <f>-IF($C$42="Yes",IF($C$37="Denmark",IF(L4&lt;(2028+Policies!$C$28),Policies!$C$27*L36*L6,0),0),0)</f>
        <v>0</v>
      </c>
      <c r="M21" s="24">
        <f>-IF($C$42="Yes",IF($C$37="Denmark",IF(M4&lt;(2028+Policies!$C$28),Policies!$C$27*M36*M6,0),0),0)</f>
        <v>0</v>
      </c>
      <c r="N21" s="24">
        <f>-IF($C$42="Yes",IF($C$37="Denmark",IF(N4&lt;(2028+Policies!$C$28),Policies!$C$27*N36*N6,0),0),0)</f>
        <v>0</v>
      </c>
      <c r="O21" s="24">
        <f>-IF($C$42="Yes",IF($C$37="Denmark",IF(O4&lt;(2028+Policies!$C$28),Policies!$C$27*O36*O6,0),0),0)</f>
        <v>0</v>
      </c>
      <c r="P21" s="24">
        <f>-IF($C$42="Yes",IF($C$37="Denmark",IF(P4&lt;(2028+Policies!$C$28),Policies!$C$27*P36*P6,0),0),0)</f>
        <v>0</v>
      </c>
      <c r="Q21" s="24">
        <f>-IF($C$42="Yes",IF($C$37="Denmark",IF(Q4&lt;(2028+Policies!$C$28),Policies!$C$27*Q36*Q6,0),0),0)</f>
        <v>0</v>
      </c>
      <c r="R21" s="24">
        <f>-IF($C$42="Yes",IF($C$37="Denmark",IF(R4&lt;(2028+Policies!$C$28),Policies!$C$27*R36*R6,0),0),0)</f>
        <v>0</v>
      </c>
      <c r="S21" s="24">
        <f>-IF($C$42="Yes",IF($C$37="Denmark",IF(S4&lt;(2028+Policies!$C$28),Policies!$C$27*S36*S6,0),0),0)</f>
        <v>0</v>
      </c>
      <c r="T21" s="24">
        <f>-IF($C$42="Yes",IF($C$37="Denmark",IF(T4&lt;(2028+Policies!$C$28),Policies!$C$27*T36*T6,0),0),0)</f>
        <v>0</v>
      </c>
      <c r="U21" s="24">
        <f>-IF($C$42="Yes",IF($C$37="Denmark",IF(U4&lt;(2028+Policies!$C$28),Policies!$C$27*U36*U6,0),0),0)</f>
        <v>0</v>
      </c>
      <c r="V21" s="24">
        <f>-IF($C$42="Yes",IF($C$37="Denmark",IF(V4&lt;(2028+Policies!$C$28),Policies!$C$27*V36*V6,0),0),0)</f>
        <v>0</v>
      </c>
      <c r="W21" s="24">
        <f>-IF($C$42="Yes",IF($C$37="Denmark",IF(W4&lt;(2028+Policies!$C$28),Policies!$C$27*W36*W6,0),0),0)</f>
        <v>0</v>
      </c>
      <c r="X21" s="24">
        <f>-IF($C$42="Yes",IF($C$37="Denmark",IF(X4&lt;(2028+Policies!$C$28),Policies!$C$27*X36*X6,0),0),0)</f>
        <v>0</v>
      </c>
      <c r="Y21" s="24">
        <f>-IF($C$42="Yes",IF($C$37="Denmark",IF(Y4&lt;(2028+Policies!$C$28),Policies!$C$27*Y36*Y6,0),0),0)</f>
        <v>0</v>
      </c>
      <c r="Z21" s="24">
        <f>-IF($C$42="Yes",IF($C$37="Denmark",IF(Z4&lt;(2028+Policies!$C$28),Policies!$C$27*Z36*Z6,0),0),0)</f>
        <v>0</v>
      </c>
      <c r="AA21" s="24">
        <f>-IF($C$42="Yes",IF($C$37="Denmark",IF(AA4&lt;(2028+Policies!$C$28),Policies!$C$27*AA36*AA6,0),0),0)</f>
        <v>0</v>
      </c>
      <c r="AB21" s="24">
        <f>-IF($C$42="Yes",IF($C$37="Denmark",IF(AB4&lt;(2028+Policies!$C$28),Policies!$C$27*AB36*AB6,0),0),0)</f>
        <v>0</v>
      </c>
      <c r="AC21" s="24">
        <f>-IF($C$42="Yes",IF($C$37="Denmark",IF(AC4&lt;(2028+Policies!$C$28),Policies!$C$27*AC36*AC6,0),0),0)</f>
        <v>0</v>
      </c>
      <c r="AD21" s="24">
        <f>-IF($C$42="Yes",IF($C$37="Denmark",IF(AD4&lt;(2028+Policies!$C$28),Policies!$C$27*AD36*AD6,0),0),0)</f>
        <v>0</v>
      </c>
      <c r="AE21" s="24">
        <f>-IF($C$42="Yes",IF($C$37="Denmark",IF(AE4&lt;(2028+Policies!$C$28),Policies!$C$27*AE36*AE6,0),0),0)</f>
        <v>0</v>
      </c>
      <c r="AF21" s="24">
        <f>-IF($C$42="Yes",IF($C$37="Denmark",IF(AF4&lt;(2028+Policies!$C$28),Policies!$C$27*AF36*AF6,0),0),0)</f>
        <v>0</v>
      </c>
      <c r="AG21" s="24">
        <f>-IF($C$42="Yes",IF($C$37="Denmark",IF(AG4&lt;(2028+Policies!$C$28),Policies!$C$27*AG36*AG6,0),0),0)</f>
        <v>0</v>
      </c>
      <c r="AH21" s="24">
        <f>-IF($C$42="Yes",IF($C$37="Denmark",IF(AH4&lt;(2028+Policies!$C$28),Policies!$C$27*AH36*AH6,0),0),0)</f>
        <v>0</v>
      </c>
      <c r="AI21" s="24">
        <f>-IF($C$42="Yes",IF($C$37="Denmark",IF(AI4&lt;(2028+Policies!$C$28),Policies!$C$27*AI36*AI6,0),0),0)</f>
        <v>0</v>
      </c>
      <c r="AJ21" s="24">
        <f>-IF($C$42="Yes",IF($C$37="Denmark",IF(AJ4&lt;(2028+Policies!$C$28),Policies!$C$27*AJ36*AJ6,0),0),0)</f>
        <v>0</v>
      </c>
    </row>
    <row r="22" spans="2:36" x14ac:dyDescent="0.2">
      <c r="H22" s="2" t="s">
        <v>380</v>
      </c>
      <c r="I22" s="4">
        <v>0</v>
      </c>
      <c r="J22" s="4">
        <v>0</v>
      </c>
      <c r="K22" s="4">
        <v>0</v>
      </c>
      <c r="L22" s="4">
        <f>-IF($C$43="Yes",Policies!$C$33*'Capture Model'!$D$6,0)</f>
        <v>0</v>
      </c>
      <c r="M22" s="4">
        <f>-IF($C$43="Yes",Policies!$C$33*'Capture Model'!$D$6,0)</f>
        <v>0</v>
      </c>
      <c r="N22" s="4">
        <f>-IF($C$43="Yes",Policies!$C$33*'Capture Model'!$D$6,0)</f>
        <v>0</v>
      </c>
      <c r="O22" s="4">
        <f>-IF($C$43="Yes",Policies!$C$33*'Capture Model'!$D$6,0)</f>
        <v>0</v>
      </c>
      <c r="P22" s="4">
        <f>-IF($C$43="Yes",Policies!$C$33*'Capture Model'!$D$6,0)</f>
        <v>0</v>
      </c>
      <c r="Q22" s="4">
        <f>-IF($C$43="Yes",Policies!$C$33*'Capture Model'!$D$6,0)</f>
        <v>0</v>
      </c>
      <c r="R22" s="4">
        <f>-IF($C$43="Yes",Policies!$C$33*'Capture Model'!$D$6,0)</f>
        <v>0</v>
      </c>
      <c r="S22" s="4">
        <f>-IF($C$43="Yes",Policies!$C$33*'Capture Model'!$D$6,0)</f>
        <v>0</v>
      </c>
      <c r="T22" s="4">
        <f>-IF($C$43="Yes",Policies!$C$33*'Capture Model'!$D$6,0)</f>
        <v>0</v>
      </c>
      <c r="U22" s="4">
        <f>-IF($C$43="Yes",Policies!$C$33*'Capture Model'!$D$6,0)</f>
        <v>0</v>
      </c>
      <c r="V22" s="4">
        <f>-IF($C$43="Yes",Policies!$C$33*'Capture Model'!$D$6,0)</f>
        <v>0</v>
      </c>
      <c r="W22" s="4">
        <f>-IF($C$43="Yes",Policies!$C$33*'Capture Model'!$D$6,0)</f>
        <v>0</v>
      </c>
      <c r="X22" s="4">
        <f>-IF($C$43="Yes",Policies!$C$33*'Capture Model'!$D$6,0)</f>
        <v>0</v>
      </c>
      <c r="Y22" s="4">
        <f>-IF($C$43="Yes",Policies!$C$33*'Capture Model'!$D$6,0)</f>
        <v>0</v>
      </c>
      <c r="Z22" s="4">
        <f>-IF($C$43="Yes",Policies!$C$33*'Capture Model'!$D$6,0)</f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</row>
    <row r="23" spans="2:36" ht="24" thickBot="1" x14ac:dyDescent="0.3">
      <c r="B23" s="249" t="s">
        <v>163</v>
      </c>
      <c r="C23" s="249"/>
      <c r="D23" s="249"/>
      <c r="E23" s="249"/>
      <c r="H23" s="51" t="s">
        <v>292</v>
      </c>
      <c r="I23" s="55">
        <f>I8</f>
        <v>103387200</v>
      </c>
      <c r="J23" s="55">
        <f>J8</f>
        <v>78703505.999999985</v>
      </c>
      <c r="K23" s="55">
        <f>K8</f>
        <v>79884058.589999974</v>
      </c>
      <c r="L23" s="55">
        <f>SUM(L24:L25)</f>
        <v>57678143.561780572</v>
      </c>
      <c r="M23" s="55">
        <f t="shared" ref="M23:AJ23" si="9">SUM(M24:M25)</f>
        <v>58403747.445050567</v>
      </c>
      <c r="N23" s="55">
        <f t="shared" si="9"/>
        <v>59140235.386569604</v>
      </c>
      <c r="O23" s="55">
        <f t="shared" si="9"/>
        <v>59887770.647211432</v>
      </c>
      <c r="P23" s="55">
        <f t="shared" si="9"/>
        <v>60646518.936762884</v>
      </c>
      <c r="Q23" s="55">
        <f t="shared" si="9"/>
        <v>61416648.450657621</v>
      </c>
      <c r="R23" s="55">
        <f t="shared" si="9"/>
        <v>62198329.907260761</v>
      </c>
      <c r="S23" s="55">
        <f t="shared" si="9"/>
        <v>62991736.585712954</v>
      </c>
      <c r="T23" s="55">
        <f t="shared" si="9"/>
        <v>63797044.36434193</v>
      </c>
      <c r="U23" s="55">
        <f t="shared" si="9"/>
        <v>64614431.759650335</v>
      </c>
      <c r="V23" s="55">
        <f t="shared" si="9"/>
        <v>65444079.965888396</v>
      </c>
      <c r="W23" s="55">
        <f t="shared" si="9"/>
        <v>66286172.895219997</v>
      </c>
      <c r="X23" s="55">
        <f t="shared" si="9"/>
        <v>67140897.218491569</v>
      </c>
      <c r="Y23" s="55">
        <f t="shared" si="9"/>
        <v>68008442.406612232</v>
      </c>
      <c r="Z23" s="55">
        <f t="shared" si="9"/>
        <v>68889000.772554711</v>
      </c>
      <c r="AA23" s="55">
        <f t="shared" si="9"/>
        <v>69782767.513986304</v>
      </c>
      <c r="AB23" s="55">
        <f t="shared" si="9"/>
        <v>70689940.756539389</v>
      </c>
      <c r="AC23" s="55">
        <f t="shared" si="9"/>
        <v>71610721.597730741</v>
      </c>
      <c r="AD23" s="55">
        <f t="shared" si="9"/>
        <v>72545314.151539996</v>
      </c>
      <c r="AE23" s="55">
        <f t="shared" si="9"/>
        <v>73493925.593656376</v>
      </c>
      <c r="AF23" s="55">
        <f t="shared" si="9"/>
        <v>74456766.207404509</v>
      </c>
      <c r="AG23" s="55">
        <f t="shared" si="9"/>
        <v>75434049.430358857</v>
      </c>
      <c r="AH23" s="55">
        <f t="shared" si="9"/>
        <v>76425991.901657537</v>
      </c>
      <c r="AI23" s="55">
        <f t="shared" si="9"/>
        <v>77432813.510025665</v>
      </c>
      <c r="AJ23" s="55">
        <f t="shared" si="9"/>
        <v>78454737.442519352</v>
      </c>
    </row>
    <row r="24" spans="2:36" ht="18" thickBot="1" x14ac:dyDescent="0.25">
      <c r="B24" s="10" t="s">
        <v>1</v>
      </c>
      <c r="C24" s="1" t="s">
        <v>164</v>
      </c>
      <c r="D24" s="1" t="s">
        <v>3</v>
      </c>
      <c r="E24" s="1" t="s">
        <v>4</v>
      </c>
      <c r="H24" s="2" t="s">
        <v>286</v>
      </c>
      <c r="I24" s="24">
        <f t="shared" ref="I24:AJ24" si="10">I11</f>
        <v>0</v>
      </c>
      <c r="J24" s="24">
        <f t="shared" si="10"/>
        <v>0</v>
      </c>
      <c r="K24" s="24">
        <f t="shared" si="10"/>
        <v>0</v>
      </c>
      <c r="L24" s="24">
        <f t="shared" si="10"/>
        <v>101485488.10481845</v>
      </c>
      <c r="M24" s="24">
        <f t="shared" si="10"/>
        <v>102211091.98808844</v>
      </c>
      <c r="N24" s="24">
        <f t="shared" si="10"/>
        <v>102947579.92960748</v>
      </c>
      <c r="O24" s="24">
        <f t="shared" si="10"/>
        <v>103695115.19024931</v>
      </c>
      <c r="P24" s="24">
        <f t="shared" si="10"/>
        <v>104453863.47980076</v>
      </c>
      <c r="Q24" s="24">
        <f t="shared" si="10"/>
        <v>105223992.9936955</v>
      </c>
      <c r="R24" s="24">
        <f t="shared" si="10"/>
        <v>106005674.45029864</v>
      </c>
      <c r="S24" s="24">
        <f t="shared" si="10"/>
        <v>106799081.12875083</v>
      </c>
      <c r="T24" s="24">
        <f t="shared" si="10"/>
        <v>107604388.90737981</v>
      </c>
      <c r="U24" s="24">
        <f t="shared" si="10"/>
        <v>108421776.30268821</v>
      </c>
      <c r="V24" s="24">
        <f t="shared" si="10"/>
        <v>109251424.50892627</v>
      </c>
      <c r="W24" s="24">
        <f t="shared" si="10"/>
        <v>110093517.43825787</v>
      </c>
      <c r="X24" s="24">
        <f t="shared" si="10"/>
        <v>110948241.76152945</v>
      </c>
      <c r="Y24" s="24">
        <f t="shared" si="10"/>
        <v>111815786.94965011</v>
      </c>
      <c r="Z24" s="24">
        <f t="shared" si="10"/>
        <v>112696345.31559259</v>
      </c>
      <c r="AA24" s="24">
        <f t="shared" si="10"/>
        <v>113590112.05702418</v>
      </c>
      <c r="AB24" s="24">
        <f t="shared" si="10"/>
        <v>114497285.29957727</v>
      </c>
      <c r="AC24" s="24">
        <f t="shared" si="10"/>
        <v>115418066.14076862</v>
      </c>
      <c r="AD24" s="24">
        <f t="shared" si="10"/>
        <v>116352658.69457787</v>
      </c>
      <c r="AE24" s="24">
        <f t="shared" si="10"/>
        <v>117301270.13669425</v>
      </c>
      <c r="AF24" s="24">
        <f t="shared" si="10"/>
        <v>118264110.75044239</v>
      </c>
      <c r="AG24" s="24">
        <f t="shared" si="10"/>
        <v>119241393.97339673</v>
      </c>
      <c r="AH24" s="24">
        <f t="shared" si="10"/>
        <v>120233336.44469541</v>
      </c>
      <c r="AI24" s="24">
        <f t="shared" si="10"/>
        <v>121240158.05306354</v>
      </c>
      <c r="AJ24" s="24">
        <f t="shared" si="10"/>
        <v>122262081.98555723</v>
      </c>
    </row>
    <row r="25" spans="2:36" x14ac:dyDescent="0.2">
      <c r="B25" s="2" t="s">
        <v>136</v>
      </c>
      <c r="C25" s="4">
        <f>(NPV('Input Parameters'!$D$36,J8:AJ8)+I8)/$C$52</f>
        <v>53.335184113631534</v>
      </c>
      <c r="D25" s="133">
        <f t="shared" ref="D25:D29" si="11">C25/$C$53</f>
        <v>0.22412552199513772</v>
      </c>
      <c r="E25" s="2" t="s">
        <v>13</v>
      </c>
      <c r="H25" s="2" t="s">
        <v>206</v>
      </c>
      <c r="I25" s="24">
        <f>I17</f>
        <v>0</v>
      </c>
      <c r="J25" s="24">
        <f t="shared" ref="J25:AJ25" si="12">J17</f>
        <v>0</v>
      </c>
      <c r="K25" s="24">
        <f t="shared" si="12"/>
        <v>0</v>
      </c>
      <c r="L25" s="24">
        <f>L17</f>
        <v>-43807344.543037876</v>
      </c>
      <c r="M25" s="24">
        <f t="shared" si="12"/>
        <v>-43807344.543037876</v>
      </c>
      <c r="N25" s="24">
        <f t="shared" si="12"/>
        <v>-43807344.543037876</v>
      </c>
      <c r="O25" s="24">
        <f t="shared" si="12"/>
        <v>-43807344.543037876</v>
      </c>
      <c r="P25" s="24">
        <f t="shared" si="12"/>
        <v>-43807344.543037876</v>
      </c>
      <c r="Q25" s="24">
        <f t="shared" si="12"/>
        <v>-43807344.543037876</v>
      </c>
      <c r="R25" s="24">
        <f t="shared" si="12"/>
        <v>-43807344.543037876</v>
      </c>
      <c r="S25" s="24">
        <f t="shared" si="12"/>
        <v>-43807344.543037876</v>
      </c>
      <c r="T25" s="24">
        <f t="shared" si="12"/>
        <v>-43807344.543037876</v>
      </c>
      <c r="U25" s="24">
        <f t="shared" si="12"/>
        <v>-43807344.543037876</v>
      </c>
      <c r="V25" s="24">
        <f t="shared" si="12"/>
        <v>-43807344.543037876</v>
      </c>
      <c r="W25" s="24">
        <f t="shared" si="12"/>
        <v>-43807344.543037876</v>
      </c>
      <c r="X25" s="24">
        <f t="shared" si="12"/>
        <v>-43807344.543037876</v>
      </c>
      <c r="Y25" s="24">
        <f t="shared" si="12"/>
        <v>-43807344.543037876</v>
      </c>
      <c r="Z25" s="24">
        <f t="shared" si="12"/>
        <v>-43807344.543037876</v>
      </c>
      <c r="AA25" s="24">
        <f t="shared" si="12"/>
        <v>-43807344.543037876</v>
      </c>
      <c r="AB25" s="24">
        <f t="shared" si="12"/>
        <v>-43807344.543037876</v>
      </c>
      <c r="AC25" s="24">
        <f t="shared" si="12"/>
        <v>-43807344.543037876</v>
      </c>
      <c r="AD25" s="24">
        <f t="shared" si="12"/>
        <v>-43807344.543037876</v>
      </c>
      <c r="AE25" s="24">
        <f t="shared" si="12"/>
        <v>-43807344.543037876</v>
      </c>
      <c r="AF25" s="24">
        <f t="shared" si="12"/>
        <v>-43807344.543037876</v>
      </c>
      <c r="AG25" s="24">
        <f t="shared" si="12"/>
        <v>-43807344.543037876</v>
      </c>
      <c r="AH25" s="24">
        <f t="shared" si="12"/>
        <v>-43807344.543037876</v>
      </c>
      <c r="AI25" s="24">
        <f t="shared" si="12"/>
        <v>-43807344.543037876</v>
      </c>
      <c r="AJ25" s="24">
        <f t="shared" si="12"/>
        <v>-43807344.543037876</v>
      </c>
    </row>
    <row r="26" spans="2:36" ht="17" thickBot="1" x14ac:dyDescent="0.25">
      <c r="B26" s="2" t="s">
        <v>42</v>
      </c>
      <c r="C26" s="4">
        <f>(NPV('Input Parameters'!$D$36,J12:AJ12)+I12)/$C$52</f>
        <v>15.661893524157692</v>
      </c>
      <c r="D26" s="133">
        <f t="shared" si="11"/>
        <v>6.5814529749358391E-2</v>
      </c>
      <c r="E26" s="2" t="s">
        <v>13</v>
      </c>
      <c r="H26" s="25" t="s">
        <v>295</v>
      </c>
      <c r="I26" s="26">
        <f>SUM(I27:I28)</f>
        <v>103387200</v>
      </c>
      <c r="J26" s="26">
        <f t="shared" ref="J26:AJ26" si="13">SUM(J27:J28)</f>
        <v>78703505.999999985</v>
      </c>
      <c r="K26" s="26">
        <f t="shared" si="13"/>
        <v>79884058.589999974</v>
      </c>
      <c r="L26" s="26">
        <f t="shared" si="13"/>
        <v>68157134.145380571</v>
      </c>
      <c r="M26" s="26">
        <f t="shared" si="13"/>
        <v>68882738.028650567</v>
      </c>
      <c r="N26" s="26">
        <f t="shared" si="13"/>
        <v>69619225.970169604</v>
      </c>
      <c r="O26" s="26">
        <f t="shared" si="13"/>
        <v>70366761.230811432</v>
      </c>
      <c r="P26" s="26">
        <f t="shared" si="13"/>
        <v>71125509.520362884</v>
      </c>
      <c r="Q26" s="26">
        <f t="shared" si="13"/>
        <v>71895639.034257621</v>
      </c>
      <c r="R26" s="26">
        <f t="shared" si="13"/>
        <v>72677320.49086076</v>
      </c>
      <c r="S26" s="26">
        <f t="shared" si="13"/>
        <v>73470727.169312954</v>
      </c>
      <c r="T26" s="26">
        <f t="shared" si="13"/>
        <v>74276034.947941929</v>
      </c>
      <c r="U26" s="26">
        <f t="shared" si="13"/>
        <v>75093422.343250334</v>
      </c>
      <c r="V26" s="26">
        <f t="shared" si="13"/>
        <v>75923070.549488395</v>
      </c>
      <c r="W26" s="26">
        <f t="shared" si="13"/>
        <v>76765163.478819996</v>
      </c>
      <c r="X26" s="26">
        <f t="shared" si="13"/>
        <v>77619887.802091569</v>
      </c>
      <c r="Y26" s="26">
        <f t="shared" si="13"/>
        <v>78487432.990212232</v>
      </c>
      <c r="Z26" s="26">
        <f t="shared" si="13"/>
        <v>79367991.35615471</v>
      </c>
      <c r="AA26" s="26">
        <f t="shared" si="13"/>
        <v>80261758.097586304</v>
      </c>
      <c r="AB26" s="26">
        <f t="shared" si="13"/>
        <v>81168931.340139389</v>
      </c>
      <c r="AC26" s="26">
        <f t="shared" si="13"/>
        <v>82089712.18133074</v>
      </c>
      <c r="AD26" s="26">
        <f t="shared" si="13"/>
        <v>83024304.735139996</v>
      </c>
      <c r="AE26" s="26">
        <f t="shared" si="13"/>
        <v>83972916.177256376</v>
      </c>
      <c r="AF26" s="26">
        <f t="shared" si="13"/>
        <v>84935756.791004509</v>
      </c>
      <c r="AG26" s="26">
        <f t="shared" si="13"/>
        <v>85913040.013958856</v>
      </c>
      <c r="AH26" s="26">
        <f t="shared" si="13"/>
        <v>86904982.485257536</v>
      </c>
      <c r="AI26" s="26">
        <f t="shared" si="13"/>
        <v>87911804.093625665</v>
      </c>
      <c r="AJ26" s="26">
        <f t="shared" si="13"/>
        <v>88933728.026119351</v>
      </c>
    </row>
    <row r="27" spans="2:36" x14ac:dyDescent="0.2">
      <c r="B27" s="2" t="s">
        <v>38</v>
      </c>
      <c r="C27" s="4">
        <f>(NPV('Input Parameters'!$D$36,J13:AJ13)+I13)/$C$52</f>
        <v>4.3245195290365723</v>
      </c>
      <c r="D27" s="133">
        <f t="shared" si="11"/>
        <v>1.8172529314954958E-2</v>
      </c>
      <c r="E27" s="2" t="s">
        <v>13</v>
      </c>
      <c r="H27" s="2" t="s">
        <v>292</v>
      </c>
      <c r="I27" s="24">
        <f>I23</f>
        <v>103387200</v>
      </c>
      <c r="J27" s="24">
        <f t="shared" ref="J27:AJ27" si="14">J23</f>
        <v>78703505.999999985</v>
      </c>
      <c r="K27" s="24">
        <f t="shared" si="14"/>
        <v>79884058.589999974</v>
      </c>
      <c r="L27" s="24">
        <f t="shared" si="14"/>
        <v>57678143.561780572</v>
      </c>
      <c r="M27" s="24">
        <f t="shared" si="14"/>
        <v>58403747.445050567</v>
      </c>
      <c r="N27" s="24">
        <f t="shared" si="14"/>
        <v>59140235.386569604</v>
      </c>
      <c r="O27" s="24">
        <f t="shared" si="14"/>
        <v>59887770.647211432</v>
      </c>
      <c r="P27" s="24">
        <f t="shared" si="14"/>
        <v>60646518.936762884</v>
      </c>
      <c r="Q27" s="24">
        <f t="shared" si="14"/>
        <v>61416648.450657621</v>
      </c>
      <c r="R27" s="24">
        <f t="shared" si="14"/>
        <v>62198329.907260761</v>
      </c>
      <c r="S27" s="24">
        <f t="shared" si="14"/>
        <v>62991736.585712954</v>
      </c>
      <c r="T27" s="24">
        <f t="shared" si="14"/>
        <v>63797044.36434193</v>
      </c>
      <c r="U27" s="24">
        <f t="shared" si="14"/>
        <v>64614431.759650335</v>
      </c>
      <c r="V27" s="24">
        <f t="shared" si="14"/>
        <v>65444079.965888396</v>
      </c>
      <c r="W27" s="24">
        <f t="shared" si="14"/>
        <v>66286172.895219997</v>
      </c>
      <c r="X27" s="24">
        <f t="shared" si="14"/>
        <v>67140897.218491569</v>
      </c>
      <c r="Y27" s="24">
        <f t="shared" si="14"/>
        <v>68008442.406612232</v>
      </c>
      <c r="Z27" s="24">
        <f t="shared" si="14"/>
        <v>68889000.772554711</v>
      </c>
      <c r="AA27" s="24">
        <f t="shared" si="14"/>
        <v>69782767.513986304</v>
      </c>
      <c r="AB27" s="24">
        <f t="shared" si="14"/>
        <v>70689940.756539389</v>
      </c>
      <c r="AC27" s="24">
        <f t="shared" si="14"/>
        <v>71610721.597730741</v>
      </c>
      <c r="AD27" s="24">
        <f t="shared" si="14"/>
        <v>72545314.151539996</v>
      </c>
      <c r="AE27" s="24">
        <f t="shared" si="14"/>
        <v>73493925.593656376</v>
      </c>
      <c r="AF27" s="24">
        <f t="shared" si="14"/>
        <v>74456766.207404509</v>
      </c>
      <c r="AG27" s="24">
        <f t="shared" si="14"/>
        <v>75434049.430358857</v>
      </c>
      <c r="AH27" s="24">
        <f t="shared" si="14"/>
        <v>76425991.901657537</v>
      </c>
      <c r="AI27" s="24">
        <f t="shared" si="14"/>
        <v>77432813.510025665</v>
      </c>
      <c r="AJ27" s="24">
        <f t="shared" si="14"/>
        <v>78454737.442519352</v>
      </c>
    </row>
    <row r="28" spans="2:36" x14ac:dyDescent="0.2">
      <c r="B28" s="2" t="s">
        <v>376</v>
      </c>
      <c r="C28" s="4">
        <f>(NPV('Input Parameters'!$D$36,J14:AJ14)+I14)/$C$52</f>
        <v>66.249650899999338</v>
      </c>
      <c r="D28" s="133">
        <f t="shared" si="11"/>
        <v>0.27839479391921795</v>
      </c>
      <c r="E28" s="2" t="s">
        <v>13</v>
      </c>
      <c r="H28" s="2" t="s">
        <v>293</v>
      </c>
      <c r="I28" s="4">
        <v>0</v>
      </c>
      <c r="J28" s="4">
        <v>0</v>
      </c>
      <c r="K28" s="4">
        <v>0</v>
      </c>
      <c r="L28" s="4">
        <f t="shared" ref="L28:AJ28" si="15">$D$18*1000000</f>
        <v>10478990.5836</v>
      </c>
      <c r="M28" s="4">
        <f t="shared" si="15"/>
        <v>10478990.5836</v>
      </c>
      <c r="N28" s="4">
        <f t="shared" si="15"/>
        <v>10478990.5836</v>
      </c>
      <c r="O28" s="4">
        <f t="shared" si="15"/>
        <v>10478990.5836</v>
      </c>
      <c r="P28" s="4">
        <f t="shared" si="15"/>
        <v>10478990.5836</v>
      </c>
      <c r="Q28" s="4">
        <f t="shared" si="15"/>
        <v>10478990.5836</v>
      </c>
      <c r="R28" s="4">
        <f t="shared" si="15"/>
        <v>10478990.5836</v>
      </c>
      <c r="S28" s="4">
        <f t="shared" si="15"/>
        <v>10478990.5836</v>
      </c>
      <c r="T28" s="4">
        <f t="shared" si="15"/>
        <v>10478990.5836</v>
      </c>
      <c r="U28" s="4">
        <f t="shared" si="15"/>
        <v>10478990.5836</v>
      </c>
      <c r="V28" s="4">
        <f t="shared" si="15"/>
        <v>10478990.5836</v>
      </c>
      <c r="W28" s="4">
        <f t="shared" si="15"/>
        <v>10478990.5836</v>
      </c>
      <c r="X28" s="4">
        <f t="shared" si="15"/>
        <v>10478990.5836</v>
      </c>
      <c r="Y28" s="4">
        <f t="shared" si="15"/>
        <v>10478990.5836</v>
      </c>
      <c r="Z28" s="4">
        <f t="shared" si="15"/>
        <v>10478990.5836</v>
      </c>
      <c r="AA28" s="4">
        <f t="shared" si="15"/>
        <v>10478990.5836</v>
      </c>
      <c r="AB28" s="4">
        <f t="shared" si="15"/>
        <v>10478990.5836</v>
      </c>
      <c r="AC28" s="4">
        <f t="shared" si="15"/>
        <v>10478990.5836</v>
      </c>
      <c r="AD28" s="4">
        <f t="shared" si="15"/>
        <v>10478990.5836</v>
      </c>
      <c r="AE28" s="4">
        <f t="shared" si="15"/>
        <v>10478990.5836</v>
      </c>
      <c r="AF28" s="4">
        <f t="shared" si="15"/>
        <v>10478990.5836</v>
      </c>
      <c r="AG28" s="4">
        <f t="shared" si="15"/>
        <v>10478990.5836</v>
      </c>
      <c r="AH28" s="4">
        <f t="shared" si="15"/>
        <v>10478990.5836</v>
      </c>
      <c r="AI28" s="4">
        <f t="shared" si="15"/>
        <v>10478990.5836</v>
      </c>
      <c r="AJ28" s="4">
        <f t="shared" si="15"/>
        <v>10478990.5836</v>
      </c>
    </row>
    <row r="29" spans="2:36" ht="17" thickBot="1" x14ac:dyDescent="0.25">
      <c r="B29" s="2" t="s">
        <v>70</v>
      </c>
      <c r="C29" s="4">
        <f>(NPV('Input Parameters'!$D$36,J15:AJ15)+I15)/$C$52</f>
        <v>7.2025618362919452</v>
      </c>
      <c r="D29" s="133">
        <f t="shared" si="11"/>
        <v>3.0266660893528422E-2</v>
      </c>
      <c r="E29" s="2" t="s">
        <v>13</v>
      </c>
      <c r="H29" s="25" t="s">
        <v>383</v>
      </c>
      <c r="I29" s="26">
        <f>-I31</f>
        <v>0</v>
      </c>
      <c r="J29" s="26">
        <f t="shared" ref="J29:AJ29" si="16">-J31</f>
        <v>0</v>
      </c>
      <c r="K29" s="26">
        <f t="shared" si="16"/>
        <v>0</v>
      </c>
      <c r="L29" s="26">
        <f t="shared" si="16"/>
        <v>0</v>
      </c>
      <c r="M29" s="26">
        <f t="shared" si="16"/>
        <v>0</v>
      </c>
      <c r="N29" s="26">
        <f t="shared" si="16"/>
        <v>0</v>
      </c>
      <c r="O29" s="26">
        <f t="shared" si="16"/>
        <v>0</v>
      </c>
      <c r="P29" s="26">
        <f t="shared" si="16"/>
        <v>0</v>
      </c>
      <c r="Q29" s="26">
        <f t="shared" si="16"/>
        <v>0</v>
      </c>
      <c r="R29" s="26">
        <f t="shared" si="16"/>
        <v>0</v>
      </c>
      <c r="S29" s="26">
        <f t="shared" si="16"/>
        <v>0</v>
      </c>
      <c r="T29" s="26">
        <f t="shared" si="16"/>
        <v>0</v>
      </c>
      <c r="U29" s="26">
        <f t="shared" si="16"/>
        <v>0</v>
      </c>
      <c r="V29" s="26">
        <f t="shared" si="16"/>
        <v>0</v>
      </c>
      <c r="W29" s="26">
        <f t="shared" si="16"/>
        <v>0</v>
      </c>
      <c r="X29" s="26">
        <f t="shared" si="16"/>
        <v>0</v>
      </c>
      <c r="Y29" s="26">
        <f t="shared" si="16"/>
        <v>0</v>
      </c>
      <c r="Z29" s="26">
        <f t="shared" si="16"/>
        <v>0</v>
      </c>
      <c r="AA29" s="26">
        <f t="shared" si="16"/>
        <v>0</v>
      </c>
      <c r="AB29" s="26">
        <f t="shared" si="16"/>
        <v>0</v>
      </c>
      <c r="AC29" s="26">
        <f t="shared" si="16"/>
        <v>0</v>
      </c>
      <c r="AD29" s="26">
        <f t="shared" si="16"/>
        <v>0</v>
      </c>
      <c r="AE29" s="26">
        <f t="shared" si="16"/>
        <v>0</v>
      </c>
      <c r="AF29" s="26">
        <f t="shared" si="16"/>
        <v>0</v>
      </c>
      <c r="AG29" s="26">
        <f t="shared" si="16"/>
        <v>0</v>
      </c>
      <c r="AH29" s="26">
        <f t="shared" si="16"/>
        <v>0</v>
      </c>
      <c r="AI29" s="26">
        <f t="shared" si="16"/>
        <v>0</v>
      </c>
      <c r="AJ29" s="26">
        <f t="shared" si="16"/>
        <v>0</v>
      </c>
    </row>
    <row r="30" spans="2:36" x14ac:dyDescent="0.2">
      <c r="B30" s="2" t="s">
        <v>58</v>
      </c>
      <c r="C30" s="4">
        <f>(NPV('Input Parameters'!$D$36,J16:AJ16)+I16)/$C$52</f>
        <v>91.196340211195334</v>
      </c>
      <c r="D30" s="133">
        <f>C30/$C$53</f>
        <v>0.38322596412780291</v>
      </c>
      <c r="E30" s="2" t="s">
        <v>13</v>
      </c>
      <c r="H30" s="2" t="s">
        <v>300</v>
      </c>
      <c r="I30" s="24">
        <f>I26</f>
        <v>103387200</v>
      </c>
      <c r="J30" s="24">
        <f t="shared" ref="J30:AJ30" si="17">J26</f>
        <v>78703505.999999985</v>
      </c>
      <c r="K30" s="24">
        <f t="shared" si="17"/>
        <v>79884058.589999974</v>
      </c>
      <c r="L30" s="24">
        <f t="shared" si="17"/>
        <v>68157134.145380571</v>
      </c>
      <c r="M30" s="24">
        <f t="shared" si="17"/>
        <v>68882738.028650567</v>
      </c>
      <c r="N30" s="24">
        <f t="shared" si="17"/>
        <v>69619225.970169604</v>
      </c>
      <c r="O30" s="24">
        <f t="shared" si="17"/>
        <v>70366761.230811432</v>
      </c>
      <c r="P30" s="24">
        <f t="shared" si="17"/>
        <v>71125509.520362884</v>
      </c>
      <c r="Q30" s="24">
        <f t="shared" si="17"/>
        <v>71895639.034257621</v>
      </c>
      <c r="R30" s="24">
        <f t="shared" si="17"/>
        <v>72677320.49086076</v>
      </c>
      <c r="S30" s="24">
        <f t="shared" si="17"/>
        <v>73470727.169312954</v>
      </c>
      <c r="T30" s="24">
        <f t="shared" si="17"/>
        <v>74276034.947941929</v>
      </c>
      <c r="U30" s="24">
        <f t="shared" si="17"/>
        <v>75093422.343250334</v>
      </c>
      <c r="V30" s="24">
        <f t="shared" si="17"/>
        <v>75923070.549488395</v>
      </c>
      <c r="W30" s="24">
        <f t="shared" si="17"/>
        <v>76765163.478819996</v>
      </c>
      <c r="X30" s="24">
        <f t="shared" si="17"/>
        <v>77619887.802091569</v>
      </c>
      <c r="Y30" s="24">
        <f t="shared" si="17"/>
        <v>78487432.990212232</v>
      </c>
      <c r="Z30" s="24">
        <f t="shared" si="17"/>
        <v>79367991.35615471</v>
      </c>
      <c r="AA30" s="24">
        <f t="shared" si="17"/>
        <v>80261758.097586304</v>
      </c>
      <c r="AB30" s="24">
        <f t="shared" si="17"/>
        <v>81168931.340139389</v>
      </c>
      <c r="AC30" s="24">
        <f t="shared" si="17"/>
        <v>82089712.18133074</v>
      </c>
      <c r="AD30" s="24">
        <f t="shared" si="17"/>
        <v>83024304.735139996</v>
      </c>
      <c r="AE30" s="24">
        <f t="shared" si="17"/>
        <v>83972916.177256376</v>
      </c>
      <c r="AF30" s="24">
        <f t="shared" si="17"/>
        <v>84935756.791004509</v>
      </c>
      <c r="AG30" s="24">
        <f t="shared" si="17"/>
        <v>85913040.013958856</v>
      </c>
      <c r="AH30" s="24">
        <f t="shared" si="17"/>
        <v>86904982.485257536</v>
      </c>
      <c r="AI30" s="24">
        <f t="shared" si="17"/>
        <v>87911804.093625665</v>
      </c>
      <c r="AJ30" s="24">
        <f t="shared" si="17"/>
        <v>88933728.026119351</v>
      </c>
    </row>
    <row r="31" spans="2:36" ht="17" thickBot="1" x14ac:dyDescent="0.25">
      <c r="B31" s="17" t="s">
        <v>167</v>
      </c>
      <c r="C31" s="27">
        <f>SUM(C25:C30)</f>
        <v>237.97015011431245</v>
      </c>
      <c r="D31" s="28">
        <f>SUM(D25:D30)</f>
        <v>1.0000000000000004</v>
      </c>
      <c r="E31" s="17" t="s">
        <v>13</v>
      </c>
      <c r="H31" s="2" t="s">
        <v>296</v>
      </c>
      <c r="I31" s="4">
        <f>IF(I30&gt;=0,0,IF($C$37="Germany",I30*'Input Parameters'!$D$42,I30*'Input Parameters'!$D$43))</f>
        <v>0</v>
      </c>
      <c r="J31" s="4">
        <f>IF(J30&gt;=0,0,IF($C$37="Germany",J30*'Input Parameters'!$D$42,J30*'Input Parameters'!$D$43))</f>
        <v>0</v>
      </c>
      <c r="K31" s="4">
        <f>IF(K30&gt;=0,0,IF($C$37="Germany",K30*'Input Parameters'!$D$42,K30*'Input Parameters'!$D$43))</f>
        <v>0</v>
      </c>
      <c r="L31" s="4">
        <f>IF(L30&gt;=0,0,IF($C$37="Germany",L30*'Input Parameters'!$D$42,L30*'Input Parameters'!$D$43))</f>
        <v>0</v>
      </c>
      <c r="M31" s="4">
        <f>IF(M30&gt;=0,0,IF($C$37="Germany",M30*'Input Parameters'!$D$42,M30*'Input Parameters'!$D$43))</f>
        <v>0</v>
      </c>
      <c r="N31" s="4">
        <f>IF(N30&gt;=0,0,IF($C$37="Germany",N30*'Input Parameters'!$D$42,N30*'Input Parameters'!$D$43))</f>
        <v>0</v>
      </c>
      <c r="O31" s="4">
        <f>IF(O30&gt;=0,0,IF($C$37="Germany",O30*'Input Parameters'!$D$42,O30*'Input Parameters'!$D$43))</f>
        <v>0</v>
      </c>
      <c r="P31" s="4">
        <f>IF(P30&gt;=0,0,IF($C$37="Germany",P30*'Input Parameters'!$D$42,P30*'Input Parameters'!$D$43))</f>
        <v>0</v>
      </c>
      <c r="Q31" s="4">
        <f>IF(Q30&gt;=0,0,IF($C$37="Germany",Q30*'Input Parameters'!$D$42,Q30*'Input Parameters'!$D$43))</f>
        <v>0</v>
      </c>
      <c r="R31" s="4">
        <f>IF(R30&gt;=0,0,IF($C$37="Germany",R30*'Input Parameters'!$D$42,R30*'Input Parameters'!$D$43))</f>
        <v>0</v>
      </c>
      <c r="S31" s="4">
        <f>IF(S30&gt;=0,0,IF($C$37="Germany",S30*'Input Parameters'!$D$42,S30*'Input Parameters'!$D$43))</f>
        <v>0</v>
      </c>
      <c r="T31" s="4">
        <f>IF(T30&gt;=0,0,IF($C$37="Germany",T30*'Input Parameters'!$D$42,T30*'Input Parameters'!$D$43))</f>
        <v>0</v>
      </c>
      <c r="U31" s="4">
        <f>IF(U30&gt;=0,0,IF($C$37="Germany",U30*'Input Parameters'!$D$42,U30*'Input Parameters'!$D$43))</f>
        <v>0</v>
      </c>
      <c r="V31" s="4">
        <f>IF(V30&gt;=0,0,IF($C$37="Germany",V30*'Input Parameters'!$D$42,V30*'Input Parameters'!$D$43))</f>
        <v>0</v>
      </c>
      <c r="W31" s="4">
        <f>IF(W30&gt;=0,0,IF($C$37="Germany",W30*'Input Parameters'!$D$42,W30*'Input Parameters'!$D$43))</f>
        <v>0</v>
      </c>
      <c r="X31" s="4">
        <f>IF(X30&gt;=0,0,IF($C$37="Germany",X30*'Input Parameters'!$D$42,X30*'Input Parameters'!$D$43))</f>
        <v>0</v>
      </c>
      <c r="Y31" s="4">
        <f>IF(Y30&gt;=0,0,IF($C$37="Germany",Y30*'Input Parameters'!$D$42,Y30*'Input Parameters'!$D$43))</f>
        <v>0</v>
      </c>
      <c r="Z31" s="4">
        <f>IF(Z30&gt;=0,0,IF($C$37="Germany",Z30*'Input Parameters'!$D$42,Z30*'Input Parameters'!$D$43))</f>
        <v>0</v>
      </c>
      <c r="AA31" s="4">
        <f>IF(AA30&gt;=0,0,IF($C$37="Germany",AA30*'Input Parameters'!$D$42,AA30*'Input Parameters'!$D$43))</f>
        <v>0</v>
      </c>
      <c r="AB31" s="4">
        <f>IF(AB30&gt;=0,0,IF($C$37="Germany",AB30*'Input Parameters'!$D$42,AB30*'Input Parameters'!$D$43))</f>
        <v>0</v>
      </c>
      <c r="AC31" s="4">
        <f>IF(AC30&gt;=0,0,IF($C$37="Germany",AC30*'Input Parameters'!$D$42,AC30*'Input Parameters'!$D$43))</f>
        <v>0</v>
      </c>
      <c r="AD31" s="4">
        <f>IF(AD30&gt;=0,0,IF($C$37="Germany",AD30*'Input Parameters'!$D$42,AD30*'Input Parameters'!$D$43))</f>
        <v>0</v>
      </c>
      <c r="AE31" s="4">
        <f>IF(AE30&gt;=0,0,IF($C$37="Germany",AE30*'Input Parameters'!$D$42,AE30*'Input Parameters'!$D$43))</f>
        <v>0</v>
      </c>
      <c r="AF31" s="4">
        <f>IF(AF30&gt;=0,0,IF($C$37="Germany",AF30*'Input Parameters'!$D$42,AF30*'Input Parameters'!$D$43))</f>
        <v>0</v>
      </c>
      <c r="AG31" s="4">
        <f>IF(AG30&gt;=0,0,IF($C$37="Germany",AG30*'Input Parameters'!$D$42,AG30*'Input Parameters'!$D$43))</f>
        <v>0</v>
      </c>
      <c r="AH31" s="4">
        <f>IF(AH30&gt;=0,0,IF($C$37="Germany",AH30*'Input Parameters'!$D$42,AH30*'Input Parameters'!$D$43))</f>
        <v>0</v>
      </c>
      <c r="AI31" s="4">
        <f>IF(AI30&gt;=0,0,IF($C$37="Germany",AI30*'Input Parameters'!$D$42,AI30*'Input Parameters'!$D$43))</f>
        <v>0</v>
      </c>
      <c r="AJ31" s="4">
        <f>IF(AJ30&gt;=0,0,IF($C$37="Germany",AJ30*'Input Parameters'!$D$42,AJ30*'Input Parameters'!$D$43))</f>
        <v>0</v>
      </c>
    </row>
    <row r="32" spans="2:36" x14ac:dyDescent="0.2">
      <c r="H32" s="53" t="s">
        <v>301</v>
      </c>
      <c r="I32" s="54">
        <f>SUM(I8,I29)</f>
        <v>103387200</v>
      </c>
      <c r="J32" s="54">
        <f>SUM(J8,J29)</f>
        <v>78703505.999999985</v>
      </c>
      <c r="K32" s="54">
        <f>SUM(K8,K29)</f>
        <v>79884058.589999974</v>
      </c>
      <c r="L32" s="54">
        <f>SUM(L8,L23,L29)</f>
        <v>57678143.561780572</v>
      </c>
      <c r="M32" s="54">
        <f t="shared" ref="M32:AJ32" si="18">SUM(M8,M23,M29)</f>
        <v>58403747.445050567</v>
      </c>
      <c r="N32" s="54">
        <f t="shared" si="18"/>
        <v>59140235.386569604</v>
      </c>
      <c r="O32" s="54">
        <f t="shared" si="18"/>
        <v>59887770.647211432</v>
      </c>
      <c r="P32" s="54">
        <f t="shared" si="18"/>
        <v>60646518.936762884</v>
      </c>
      <c r="Q32" s="54">
        <f t="shared" si="18"/>
        <v>61416648.450657621</v>
      </c>
      <c r="R32" s="54">
        <f t="shared" si="18"/>
        <v>62198329.907260761</v>
      </c>
      <c r="S32" s="54">
        <f t="shared" si="18"/>
        <v>62991736.585712954</v>
      </c>
      <c r="T32" s="54">
        <f t="shared" si="18"/>
        <v>63797044.36434193</v>
      </c>
      <c r="U32" s="54">
        <f t="shared" si="18"/>
        <v>64614431.759650335</v>
      </c>
      <c r="V32" s="54">
        <f t="shared" si="18"/>
        <v>65444079.965888396</v>
      </c>
      <c r="W32" s="54">
        <f t="shared" si="18"/>
        <v>66286172.895219997</v>
      </c>
      <c r="X32" s="54">
        <f t="shared" si="18"/>
        <v>67140897.218491569</v>
      </c>
      <c r="Y32" s="54">
        <f t="shared" si="18"/>
        <v>68008442.406612232</v>
      </c>
      <c r="Z32" s="54">
        <f t="shared" si="18"/>
        <v>68889000.772554711</v>
      </c>
      <c r="AA32" s="54">
        <f t="shared" si="18"/>
        <v>69782767.513986304</v>
      </c>
      <c r="AB32" s="54">
        <f t="shared" si="18"/>
        <v>70689940.756539389</v>
      </c>
      <c r="AC32" s="54">
        <f t="shared" si="18"/>
        <v>71610721.597730741</v>
      </c>
      <c r="AD32" s="54">
        <f t="shared" si="18"/>
        <v>72545314.151539996</v>
      </c>
      <c r="AE32" s="54">
        <f t="shared" si="18"/>
        <v>73493925.593656376</v>
      </c>
      <c r="AF32" s="54">
        <f t="shared" si="18"/>
        <v>74456766.207404509</v>
      </c>
      <c r="AG32" s="54">
        <f t="shared" si="18"/>
        <v>75434049.430358857</v>
      </c>
      <c r="AH32" s="54">
        <f t="shared" si="18"/>
        <v>76425991.901657537</v>
      </c>
      <c r="AI32" s="54">
        <f t="shared" si="18"/>
        <v>77432813.510025665</v>
      </c>
      <c r="AJ32" s="54">
        <f t="shared" si="18"/>
        <v>78454737.442519352</v>
      </c>
    </row>
    <row r="33" spans="2:36" ht="17" thickBot="1" x14ac:dyDescent="0.25">
      <c r="H33" s="25" t="s">
        <v>291</v>
      </c>
      <c r="I33" s="26">
        <f>I9+I11</f>
        <v>103387200</v>
      </c>
      <c r="J33" s="26">
        <f>J9+J11</f>
        <v>78703505.999999985</v>
      </c>
      <c r="K33" s="26">
        <f>K9+K11</f>
        <v>79884058.589999974</v>
      </c>
      <c r="L33" s="26">
        <f>L8+L11</f>
        <v>101485488.10481845</v>
      </c>
      <c r="M33" s="26">
        <f t="shared" ref="M33:AJ33" si="19">M8+M11</f>
        <v>102211091.98808844</v>
      </c>
      <c r="N33" s="26">
        <f t="shared" si="19"/>
        <v>102947579.92960748</v>
      </c>
      <c r="O33" s="26">
        <f t="shared" si="19"/>
        <v>103695115.19024931</v>
      </c>
      <c r="P33" s="26">
        <f t="shared" si="19"/>
        <v>104453863.47980076</v>
      </c>
      <c r="Q33" s="26">
        <f t="shared" si="19"/>
        <v>105223992.9936955</v>
      </c>
      <c r="R33" s="26">
        <f t="shared" si="19"/>
        <v>106005674.45029864</v>
      </c>
      <c r="S33" s="26">
        <f t="shared" si="19"/>
        <v>106799081.12875083</v>
      </c>
      <c r="T33" s="26">
        <f t="shared" si="19"/>
        <v>107604388.90737981</v>
      </c>
      <c r="U33" s="26">
        <f t="shared" si="19"/>
        <v>108421776.30268821</v>
      </c>
      <c r="V33" s="26">
        <f t="shared" si="19"/>
        <v>109251424.50892627</v>
      </c>
      <c r="W33" s="26">
        <f t="shared" si="19"/>
        <v>110093517.43825787</v>
      </c>
      <c r="X33" s="26">
        <f t="shared" si="19"/>
        <v>110948241.76152945</v>
      </c>
      <c r="Y33" s="26">
        <f t="shared" si="19"/>
        <v>111815786.94965011</v>
      </c>
      <c r="Z33" s="26">
        <f t="shared" si="19"/>
        <v>112696345.31559259</v>
      </c>
      <c r="AA33" s="26">
        <f t="shared" si="19"/>
        <v>113590112.05702418</v>
      </c>
      <c r="AB33" s="26">
        <f t="shared" si="19"/>
        <v>114497285.29957727</v>
      </c>
      <c r="AC33" s="26">
        <f t="shared" si="19"/>
        <v>115418066.14076862</v>
      </c>
      <c r="AD33" s="26">
        <f t="shared" si="19"/>
        <v>116352658.69457787</v>
      </c>
      <c r="AE33" s="26">
        <f t="shared" si="19"/>
        <v>117301270.13669425</v>
      </c>
      <c r="AF33" s="26">
        <f t="shared" si="19"/>
        <v>118264110.75044239</v>
      </c>
      <c r="AG33" s="26">
        <f t="shared" si="19"/>
        <v>119241393.97339673</v>
      </c>
      <c r="AH33" s="26">
        <f t="shared" si="19"/>
        <v>120233336.44469541</v>
      </c>
      <c r="AI33" s="26">
        <f t="shared" si="19"/>
        <v>121240158.05306354</v>
      </c>
      <c r="AJ33" s="26">
        <f t="shared" si="19"/>
        <v>122262081.98555723</v>
      </c>
    </row>
    <row r="34" spans="2:36" x14ac:dyDescent="0.2">
      <c r="I34" s="24"/>
      <c r="J34" s="24"/>
      <c r="K34" s="24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2:36" ht="23" x14ac:dyDescent="0.25">
      <c r="B35" s="248" t="s">
        <v>146</v>
      </c>
      <c r="C35" s="248"/>
      <c r="D35" s="248"/>
      <c r="H35" s="53" t="s">
        <v>158</v>
      </c>
      <c r="I35" s="57">
        <v>0</v>
      </c>
      <c r="J35" s="57">
        <v>0</v>
      </c>
      <c r="K35" s="57">
        <v>0</v>
      </c>
      <c r="L35" s="58">
        <f>'Capture Model'!$D$6</f>
        <v>738284.30280000006</v>
      </c>
      <c r="M35" s="58">
        <f>'Capture Model'!$D$6</f>
        <v>738284.30280000006</v>
      </c>
      <c r="N35" s="58">
        <f>'Capture Model'!$D$6</f>
        <v>738284.30280000006</v>
      </c>
      <c r="O35" s="58">
        <f>'Capture Model'!$D$6</f>
        <v>738284.30280000006</v>
      </c>
      <c r="P35" s="58">
        <f>'Capture Model'!$D$6</f>
        <v>738284.30280000006</v>
      </c>
      <c r="Q35" s="58">
        <f>'Capture Model'!$D$6</f>
        <v>738284.30280000006</v>
      </c>
      <c r="R35" s="58">
        <f>'Capture Model'!$D$6</f>
        <v>738284.30280000006</v>
      </c>
      <c r="S35" s="58">
        <f>'Capture Model'!$D$6</f>
        <v>738284.30280000006</v>
      </c>
      <c r="T35" s="58">
        <f>'Capture Model'!$D$6</f>
        <v>738284.30280000006</v>
      </c>
      <c r="U35" s="58">
        <f>'Capture Model'!$D$6</f>
        <v>738284.30280000006</v>
      </c>
      <c r="V35" s="58">
        <f>'Capture Model'!$D$6</f>
        <v>738284.30280000006</v>
      </c>
      <c r="W35" s="58">
        <f>'Capture Model'!$D$6</f>
        <v>738284.30280000006</v>
      </c>
      <c r="X35" s="58">
        <f>'Capture Model'!$D$6</f>
        <v>738284.30280000006</v>
      </c>
      <c r="Y35" s="58">
        <f>'Capture Model'!$D$6</f>
        <v>738284.30280000006</v>
      </c>
      <c r="Z35" s="58">
        <f>'Capture Model'!$D$6</f>
        <v>738284.30280000006</v>
      </c>
      <c r="AA35" s="58">
        <f>'Capture Model'!$D$6</f>
        <v>738284.30280000006</v>
      </c>
      <c r="AB35" s="58">
        <f>'Capture Model'!$D$6</f>
        <v>738284.30280000006</v>
      </c>
      <c r="AC35" s="58">
        <f>'Capture Model'!$D$6</f>
        <v>738284.30280000006</v>
      </c>
      <c r="AD35" s="58">
        <f>'Capture Model'!$D$6</f>
        <v>738284.30280000006</v>
      </c>
      <c r="AE35" s="58">
        <f>'Capture Model'!$D$6</f>
        <v>738284.30280000006</v>
      </c>
      <c r="AF35" s="58">
        <f>'Capture Model'!$D$6</f>
        <v>738284.30280000006</v>
      </c>
      <c r="AG35" s="58">
        <f>'Capture Model'!$D$6</f>
        <v>738284.30280000006</v>
      </c>
      <c r="AH35" s="58">
        <f>'Capture Model'!$D$6</f>
        <v>738284.30280000006</v>
      </c>
      <c r="AI35" s="58">
        <f>'Capture Model'!$D$6</f>
        <v>738284.30280000006</v>
      </c>
      <c r="AJ35" s="58">
        <f>'Capture Model'!$D$6</f>
        <v>738284.30280000006</v>
      </c>
    </row>
    <row r="36" spans="2:36" ht="18" thickBot="1" x14ac:dyDescent="0.25">
      <c r="B36" s="10" t="s">
        <v>147</v>
      </c>
      <c r="C36" s="1" t="s">
        <v>148</v>
      </c>
      <c r="D36" s="1" t="s">
        <v>2</v>
      </c>
      <c r="H36" s="22" t="s">
        <v>747</v>
      </c>
      <c r="I36" s="24">
        <v>0</v>
      </c>
      <c r="J36" s="24">
        <v>0</v>
      </c>
      <c r="K36" s="24">
        <v>0</v>
      </c>
      <c r="L36" s="6">
        <f>L35-'Capture Model'!$D$31</f>
        <v>607086.26029708807</v>
      </c>
      <c r="M36" s="6">
        <f>M35-'Capture Model'!$D$31</f>
        <v>607086.26029708807</v>
      </c>
      <c r="N36" s="6">
        <f>N35-'Capture Model'!$D$31</f>
        <v>607086.26029708807</v>
      </c>
      <c r="O36" s="6">
        <f>O35-'Capture Model'!$D$31</f>
        <v>607086.26029708807</v>
      </c>
      <c r="P36" s="6">
        <f>P35-'Capture Model'!$D$31</f>
        <v>607086.26029708807</v>
      </c>
      <c r="Q36" s="6">
        <f>Q35-'Capture Model'!$D$31</f>
        <v>607086.26029708807</v>
      </c>
      <c r="R36" s="6">
        <f>R35-'Capture Model'!$D$31</f>
        <v>607086.26029708807</v>
      </c>
      <c r="S36" s="6">
        <f>S35-'Capture Model'!$D$31</f>
        <v>607086.26029708807</v>
      </c>
      <c r="T36" s="6">
        <f>T35-'Capture Model'!$D$31</f>
        <v>607086.26029708807</v>
      </c>
      <c r="U36" s="6">
        <f>U35-'Capture Model'!$D$31</f>
        <v>607086.26029708807</v>
      </c>
      <c r="V36" s="6">
        <f>V35-'Capture Model'!$D$31</f>
        <v>607086.26029708807</v>
      </c>
      <c r="W36" s="6">
        <f>W35-'Capture Model'!$D$31</f>
        <v>607086.26029708807</v>
      </c>
      <c r="X36" s="6">
        <f>X35-'Capture Model'!$D$31</f>
        <v>607086.26029708807</v>
      </c>
      <c r="Y36" s="6">
        <f>Y35-'Capture Model'!$D$31</f>
        <v>607086.26029708807</v>
      </c>
      <c r="Z36" s="6">
        <f>Z35-'Capture Model'!$D$31</f>
        <v>607086.26029708807</v>
      </c>
      <c r="AA36" s="6">
        <f>AA35-'Capture Model'!$D$31</f>
        <v>607086.26029708807</v>
      </c>
      <c r="AB36" s="6">
        <f>AB35-'Capture Model'!$D$31</f>
        <v>607086.26029708807</v>
      </c>
      <c r="AC36" s="6">
        <f>AC35-'Capture Model'!$D$31</f>
        <v>607086.26029708807</v>
      </c>
      <c r="AD36" s="6">
        <f>AD35-'Capture Model'!$D$31</f>
        <v>607086.26029708807</v>
      </c>
      <c r="AE36" s="6">
        <f>AE35-'Capture Model'!$D$31</f>
        <v>607086.26029708807</v>
      </c>
      <c r="AF36" s="6">
        <f>AF35-'Capture Model'!$D$31</f>
        <v>607086.26029708807</v>
      </c>
      <c r="AG36" s="6">
        <f>AG35-'Capture Model'!$D$31</f>
        <v>607086.26029708807</v>
      </c>
      <c r="AH36" s="6">
        <f>AH35-'Capture Model'!$D$31</f>
        <v>607086.26029708807</v>
      </c>
      <c r="AI36" s="6">
        <f>AI35-'Capture Model'!$D$31</f>
        <v>607086.26029708807</v>
      </c>
      <c r="AJ36" s="6">
        <f>AJ35-'Capture Model'!$D$31</f>
        <v>607086.26029708807</v>
      </c>
    </row>
    <row r="37" spans="2:36" ht="21" customHeight="1" thickBot="1" x14ac:dyDescent="0.25">
      <c r="B37" s="2" t="s">
        <v>142</v>
      </c>
      <c r="C37" s="22" t="s">
        <v>73</v>
      </c>
      <c r="H37" s="51" t="s">
        <v>746</v>
      </c>
      <c r="I37" s="48">
        <v>0</v>
      </c>
      <c r="J37" s="48">
        <v>0</v>
      </c>
      <c r="K37" s="48">
        <v>0</v>
      </c>
      <c r="L37" s="49">
        <f>IF($C$39="Yes",'Capture Model'!$D$6-('Capture Model'!$D$31+'Capture Model'!$D$32+'Capture Model'!$D$33),'Capture Model'!$D$6-('Capture Model'!$D$31+'Capture Model'!$D$32))</f>
        <v>582390.65036842809</v>
      </c>
      <c r="M37" s="49">
        <f>IF($C$39="Yes",'Capture Model'!$D$6-('Capture Model'!$D$31+'Capture Model'!$D$32+'Capture Model'!$D$33),'Capture Model'!$D$6-('Capture Model'!$D$31+'Capture Model'!$D$32))</f>
        <v>582390.65036842809</v>
      </c>
      <c r="N37" s="49">
        <f>IF($C$39="Yes",'Capture Model'!$D$6-('Capture Model'!$D$31+'Capture Model'!$D$32+'Capture Model'!$D$33),'Capture Model'!$D$6-('Capture Model'!$D$31+'Capture Model'!$D$32))</f>
        <v>582390.65036842809</v>
      </c>
      <c r="O37" s="49">
        <f>IF($C$39="Yes",'Capture Model'!$D$6-('Capture Model'!$D$31+'Capture Model'!$D$32+'Capture Model'!$D$33),'Capture Model'!$D$6-('Capture Model'!$D$31+'Capture Model'!$D$32))</f>
        <v>582390.65036842809</v>
      </c>
      <c r="P37" s="49">
        <f>IF($C$39="Yes",'Capture Model'!$D$6-('Capture Model'!$D$31+'Capture Model'!$D$32+'Capture Model'!$D$33),'Capture Model'!$D$6-('Capture Model'!$D$31+'Capture Model'!$D$32))</f>
        <v>582390.65036842809</v>
      </c>
      <c r="Q37" s="49">
        <f>IF($C$39="Yes",'Capture Model'!$D$6-('Capture Model'!$D$31+'Capture Model'!$D$32+'Capture Model'!$D$33),'Capture Model'!$D$6-('Capture Model'!$D$31+'Capture Model'!$D$32))</f>
        <v>582390.65036842809</v>
      </c>
      <c r="R37" s="49">
        <f>IF($C$39="Yes",'Capture Model'!$D$6-('Capture Model'!$D$31+'Capture Model'!$D$32+'Capture Model'!$D$33),'Capture Model'!$D$6-('Capture Model'!$D$31+'Capture Model'!$D$32))</f>
        <v>582390.65036842809</v>
      </c>
      <c r="S37" s="49">
        <f>IF($C$39="Yes",'Capture Model'!$D$6-('Capture Model'!$D$31+'Capture Model'!$D$32+'Capture Model'!$D$33),'Capture Model'!$D$6-('Capture Model'!$D$31+'Capture Model'!$D$32))</f>
        <v>582390.65036842809</v>
      </c>
      <c r="T37" s="49">
        <f>IF($C$39="Yes",'Capture Model'!$D$6-('Capture Model'!$D$31+'Capture Model'!$D$32+'Capture Model'!$D$33),'Capture Model'!$D$6-('Capture Model'!$D$31+'Capture Model'!$D$32))</f>
        <v>582390.65036842809</v>
      </c>
      <c r="U37" s="49">
        <f>IF($C$39="Yes",'Capture Model'!$D$6-('Capture Model'!$D$31+'Capture Model'!$D$32+'Capture Model'!$D$33),'Capture Model'!$D$6-('Capture Model'!$D$31+'Capture Model'!$D$32))</f>
        <v>582390.65036842809</v>
      </c>
      <c r="V37" s="49">
        <f>IF($C$39="Yes",'Capture Model'!$D$6-('Capture Model'!$D$31+'Capture Model'!$D$32+'Capture Model'!$D$33),'Capture Model'!$D$6-('Capture Model'!$D$31+'Capture Model'!$D$32))</f>
        <v>582390.65036842809</v>
      </c>
      <c r="W37" s="49">
        <f>IF($C$39="Yes",'Capture Model'!$D$6-('Capture Model'!$D$31+'Capture Model'!$D$32+'Capture Model'!$D$33),'Capture Model'!$D$6-('Capture Model'!$D$31+'Capture Model'!$D$32))</f>
        <v>582390.65036842809</v>
      </c>
      <c r="X37" s="49">
        <f>IF($C$39="Yes",'Capture Model'!$D$6-('Capture Model'!$D$31+'Capture Model'!$D$32+'Capture Model'!$D$33),'Capture Model'!$D$6-('Capture Model'!$D$31+'Capture Model'!$D$32))</f>
        <v>582390.65036842809</v>
      </c>
      <c r="Y37" s="49">
        <f>IF($C$39="Yes",'Capture Model'!$D$6-('Capture Model'!$D$31+'Capture Model'!$D$32+'Capture Model'!$D$33),'Capture Model'!$D$6-('Capture Model'!$D$31+'Capture Model'!$D$32))</f>
        <v>582390.65036842809</v>
      </c>
      <c r="Z37" s="49">
        <f>IF($C$39="Yes",'Capture Model'!$D$6-('Capture Model'!$D$31+'Capture Model'!$D$32+'Capture Model'!$D$33),'Capture Model'!$D$6-('Capture Model'!$D$31+'Capture Model'!$D$32))</f>
        <v>582390.65036842809</v>
      </c>
      <c r="AA37" s="49">
        <f>IF($C$39="Yes",'Capture Model'!$D$6-('Capture Model'!$D$31+'Capture Model'!$D$32+'Capture Model'!$D$33),'Capture Model'!$D$6-('Capture Model'!$D$31+'Capture Model'!$D$32))</f>
        <v>582390.65036842809</v>
      </c>
      <c r="AB37" s="49">
        <f>IF($C$39="Yes",'Capture Model'!$D$6-('Capture Model'!$D$31+'Capture Model'!$D$32+'Capture Model'!$D$33),'Capture Model'!$D$6-('Capture Model'!$D$31+'Capture Model'!$D$32))</f>
        <v>582390.65036842809</v>
      </c>
      <c r="AC37" s="49">
        <f>IF($C$39="Yes",'Capture Model'!$D$6-('Capture Model'!$D$31+'Capture Model'!$D$32+'Capture Model'!$D$33),'Capture Model'!$D$6-('Capture Model'!$D$31+'Capture Model'!$D$32))</f>
        <v>582390.65036842809</v>
      </c>
      <c r="AD37" s="49">
        <f>IF($C$39="Yes",'Capture Model'!$D$6-('Capture Model'!$D$31+'Capture Model'!$D$32+'Capture Model'!$D$33),'Capture Model'!$D$6-('Capture Model'!$D$31+'Capture Model'!$D$32))</f>
        <v>582390.65036842809</v>
      </c>
      <c r="AE37" s="49">
        <f>IF($C$39="Yes",'Capture Model'!$D$6-('Capture Model'!$D$31+'Capture Model'!$D$32+'Capture Model'!$D$33),'Capture Model'!$D$6-('Capture Model'!$D$31+'Capture Model'!$D$32))</f>
        <v>582390.65036842809</v>
      </c>
      <c r="AF37" s="49">
        <f>IF($C$39="Yes",'Capture Model'!$D$6-('Capture Model'!$D$31+'Capture Model'!$D$32+'Capture Model'!$D$33),'Capture Model'!$D$6-('Capture Model'!$D$31+'Capture Model'!$D$32))</f>
        <v>582390.65036842809</v>
      </c>
      <c r="AG37" s="49">
        <f>IF($C$39="Yes",'Capture Model'!$D$6-('Capture Model'!$D$31+'Capture Model'!$D$32+'Capture Model'!$D$33),'Capture Model'!$D$6-('Capture Model'!$D$31+'Capture Model'!$D$32))</f>
        <v>582390.65036842809</v>
      </c>
      <c r="AH37" s="49">
        <f>IF($C$39="Yes",'Capture Model'!$D$6-('Capture Model'!$D$31+'Capture Model'!$D$32+'Capture Model'!$D$33),'Capture Model'!$D$6-('Capture Model'!$D$31+'Capture Model'!$D$32))</f>
        <v>582390.65036842809</v>
      </c>
      <c r="AI37" s="49">
        <f>IF($C$39="Yes",'Capture Model'!$D$6-('Capture Model'!$D$31+'Capture Model'!$D$32+'Capture Model'!$D$33),'Capture Model'!$D$6-('Capture Model'!$D$31+'Capture Model'!$D$32))</f>
        <v>582390.65036842809</v>
      </c>
      <c r="AJ37" s="49">
        <f>IF($C$39="Yes",'Capture Model'!$D$6-('Capture Model'!$D$31+'Capture Model'!$D$32+'Capture Model'!$D$33),'Capture Model'!$D$6-('Capture Model'!$D$31+'Capture Model'!$D$32))</f>
        <v>582390.65036842809</v>
      </c>
    </row>
    <row r="38" spans="2:36" ht="23" x14ac:dyDescent="0.25">
      <c r="B38" s="2" t="s">
        <v>143</v>
      </c>
      <c r="C38" s="22" t="s">
        <v>154</v>
      </c>
      <c r="Q38" s="46"/>
      <c r="R38" s="46"/>
      <c r="S38" s="46"/>
      <c r="T38" s="46"/>
    </row>
    <row r="39" spans="2:36" x14ac:dyDescent="0.2">
      <c r="B39" s="2" t="s">
        <v>58</v>
      </c>
      <c r="C39" s="22" t="s">
        <v>79</v>
      </c>
      <c r="H39" s="22" t="s">
        <v>174</v>
      </c>
      <c r="I39" s="8">
        <f>D17</f>
        <v>71.939625000000007</v>
      </c>
      <c r="Q39" s="42"/>
      <c r="R39" s="43"/>
      <c r="S39" s="43"/>
      <c r="T39" s="43"/>
    </row>
    <row r="40" spans="2:36" x14ac:dyDescent="0.2">
      <c r="B40" s="2" t="s">
        <v>149</v>
      </c>
      <c r="C40" s="22" t="s">
        <v>144</v>
      </c>
      <c r="K40" s="6"/>
      <c r="R40" s="44"/>
      <c r="S40" s="45"/>
    </row>
    <row r="41" spans="2:36" x14ac:dyDescent="0.2">
      <c r="B41" s="2" t="s">
        <v>284</v>
      </c>
      <c r="C41" s="22" t="s">
        <v>80</v>
      </c>
    </row>
    <row r="42" spans="2:36" x14ac:dyDescent="0.2">
      <c r="B42" s="2" t="s">
        <v>195</v>
      </c>
      <c r="C42" s="22" t="s">
        <v>80</v>
      </c>
    </row>
    <row r="43" spans="2:36" x14ac:dyDescent="0.2">
      <c r="B43" s="2" t="s">
        <v>175</v>
      </c>
      <c r="C43" s="22" t="s">
        <v>80</v>
      </c>
    </row>
    <row r="44" spans="2:36" x14ac:dyDescent="0.2">
      <c r="B44" s="2" t="s">
        <v>385</v>
      </c>
      <c r="C44" s="22" t="s">
        <v>79</v>
      </c>
    </row>
    <row r="46" spans="2:36" ht="23" x14ac:dyDescent="0.25">
      <c r="B46" s="248" t="s">
        <v>188</v>
      </c>
      <c r="C46" s="248"/>
      <c r="D46" s="248"/>
    </row>
    <row r="47" spans="2:36" ht="18" thickBot="1" x14ac:dyDescent="0.25">
      <c r="B47" s="10" t="s">
        <v>147</v>
      </c>
      <c r="C47" s="1" t="s">
        <v>3</v>
      </c>
      <c r="D47" s="1" t="s">
        <v>2</v>
      </c>
      <c r="M47" s="6"/>
    </row>
    <row r="48" spans="2:36" x14ac:dyDescent="0.2">
      <c r="B48" s="2" t="s">
        <v>161</v>
      </c>
      <c r="C48" s="4">
        <f>NPV('Input Parameters'!D36,J33:AJ33)+I33</f>
        <v>1078245170.7290959</v>
      </c>
      <c r="D48" s="2" t="s">
        <v>48</v>
      </c>
      <c r="E48" s="41"/>
      <c r="M48" s="6"/>
    </row>
    <row r="49" spans="2:4" x14ac:dyDescent="0.2">
      <c r="B49" s="2" t="s">
        <v>302</v>
      </c>
      <c r="C49" s="4">
        <f>NPV('Input Parameters'!D36,J32:AJ32)+I32</f>
        <v>737423209.39758408</v>
      </c>
      <c r="D49" s="2" t="s">
        <v>48</v>
      </c>
    </row>
    <row r="50" spans="2:4" x14ac:dyDescent="0.2">
      <c r="B50" s="2" t="s">
        <v>162</v>
      </c>
      <c r="C50" s="4">
        <f>NPV('Input Parameters'!D36,J35:AJ35)+I35</f>
        <v>5743865.7084854832</v>
      </c>
      <c r="D50" s="2" t="s">
        <v>18</v>
      </c>
    </row>
    <row r="52" spans="2:4" x14ac:dyDescent="0.2">
      <c r="B52" s="2" t="s">
        <v>71</v>
      </c>
      <c r="C52" s="4">
        <f>NPV('Input Parameters'!D36,J37:AJ37)+I37</f>
        <v>4531010.1717007179</v>
      </c>
      <c r="D52" s="2" t="s">
        <v>23</v>
      </c>
    </row>
    <row r="53" spans="2:4" x14ac:dyDescent="0.2">
      <c r="B53" s="22" t="s">
        <v>159</v>
      </c>
      <c r="C53" s="101">
        <f>C48/C52</f>
        <v>237.97015011431233</v>
      </c>
      <c r="D53" s="22" t="s">
        <v>155</v>
      </c>
    </row>
    <row r="54" spans="2:4" x14ac:dyDescent="0.2">
      <c r="B54" s="22" t="s">
        <v>186</v>
      </c>
      <c r="C54" s="109">
        <f>C49/C52</f>
        <v>162.75028778423416</v>
      </c>
      <c r="D54" s="22" t="s">
        <v>155</v>
      </c>
    </row>
    <row r="55" spans="2:4" x14ac:dyDescent="0.2">
      <c r="B55" s="22" t="s">
        <v>688</v>
      </c>
      <c r="C55" s="32">
        <f>IF(C41="Yes",Policies!C16,0) + IF(C42="Yes",IF(C37="Germany",Policies!C23,Policies!C29),0) + IF(C43="Yes",Policies!C35,0)</f>
        <v>0</v>
      </c>
    </row>
    <row r="56" spans="2:4" x14ac:dyDescent="0.2">
      <c r="B56" s="2" t="s">
        <v>689</v>
      </c>
      <c r="C56" s="4">
        <f>IF(C41="Yes",Policies!C16,0)</f>
        <v>0</v>
      </c>
    </row>
    <row r="57" spans="2:4" x14ac:dyDescent="0.2">
      <c r="B57" s="2" t="s">
        <v>690</v>
      </c>
      <c r="C57" s="4">
        <f>IF(C42="Yes",IF(C37="Germany",Policies!C23,Policies!C29),0)</f>
        <v>0</v>
      </c>
    </row>
    <row r="58" spans="2:4" x14ac:dyDescent="0.2">
      <c r="B58" s="2" t="s">
        <v>691</v>
      </c>
      <c r="C58" s="4">
        <f>IF(C43="Yes",Policies!C35,0)</f>
        <v>0</v>
      </c>
    </row>
    <row r="105" spans="13:13" x14ac:dyDescent="0.2">
      <c r="M105" s="4"/>
    </row>
    <row r="106" spans="13:13" x14ac:dyDescent="0.2">
      <c r="M106" s="41"/>
    </row>
    <row r="107" spans="13:13" x14ac:dyDescent="0.2">
      <c r="M107" s="6"/>
    </row>
  </sheetData>
  <mergeCells count="4">
    <mergeCell ref="B35:D35"/>
    <mergeCell ref="B8:E8"/>
    <mergeCell ref="B23:E23"/>
    <mergeCell ref="B46:D46"/>
  </mergeCells>
  <dataValidations count="4">
    <dataValidation type="list" allowBlank="1" showInputMessage="1" showErrorMessage="1" sqref="C38" xr:uid="{530E2A6A-6449-264B-A2D7-EF93A9D0C942}">
      <formula1>"Pipeline allowed, Pipeline disallowed"</formula1>
    </dataValidation>
    <dataValidation type="list" allowBlank="1" showInputMessage="1" showErrorMessage="1" sqref="C37" xr:uid="{7F84CC05-4168-364D-9280-DCC81DA42E31}">
      <formula1>"Denmark, Germany"</formula1>
    </dataValidation>
    <dataValidation type="list" allowBlank="1" showInputMessage="1" showErrorMessage="1" sqref="C40" xr:uid="{CEC8234D-3A1E-0542-9EE7-82B1F6C1B9F2}">
      <formula1>"P25, P50, P75"</formula1>
    </dataValidation>
    <dataValidation type="list" allowBlank="1" showInputMessage="1" showErrorMessage="1" sqref="C39 C41:C44" xr:uid="{F300EB9E-1470-6944-8470-B4D2B6583379}">
      <formula1>"Yes, No"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5177-68DE-304B-BC18-494C775D7A33}">
  <dimension ref="B4:K36"/>
  <sheetViews>
    <sheetView topLeftCell="A2" zoomScale="114" zoomScaleNormal="75" workbookViewId="0">
      <selection activeCell="F28" sqref="A1:XFD1048576"/>
    </sheetView>
  </sheetViews>
  <sheetFormatPr baseColWidth="10" defaultRowHeight="16" x14ac:dyDescent="0.2"/>
  <cols>
    <col min="1" max="1" width="10.83203125" style="2"/>
    <col min="2" max="2" width="23.6640625" style="2" bestFit="1" customWidth="1"/>
    <col min="3" max="3" width="17.33203125" style="2" bestFit="1" customWidth="1"/>
    <col min="4" max="4" width="18.83203125" style="2" bestFit="1" customWidth="1"/>
    <col min="5" max="15" width="14" style="2" bestFit="1" customWidth="1"/>
    <col min="16" max="16384" width="10.83203125" style="2"/>
  </cols>
  <sheetData>
    <row r="4" spans="2:4" ht="23" x14ac:dyDescent="0.25">
      <c r="B4" s="248" t="s">
        <v>285</v>
      </c>
      <c r="C4" s="248"/>
      <c r="D4" s="248"/>
    </row>
    <row r="5" spans="2:4" ht="18" thickBot="1" x14ac:dyDescent="0.25">
      <c r="B5" s="10" t="s">
        <v>147</v>
      </c>
      <c r="C5" s="1" t="s">
        <v>3</v>
      </c>
      <c r="D5" s="1" t="s">
        <v>2</v>
      </c>
    </row>
    <row r="6" spans="2:4" x14ac:dyDescent="0.2">
      <c r="B6" s="2" t="s">
        <v>357</v>
      </c>
      <c r="C6" s="4">
        <f>'Cost of CO2 Avoided'!L18</f>
        <v>-43807344.543037876</v>
      </c>
      <c r="D6" s="2" t="s">
        <v>48</v>
      </c>
    </row>
    <row r="7" spans="2:4" x14ac:dyDescent="0.2">
      <c r="B7" s="2" t="s">
        <v>182</v>
      </c>
      <c r="C7" s="2">
        <v>10</v>
      </c>
      <c r="D7" s="2" t="s">
        <v>65</v>
      </c>
    </row>
    <row r="9" spans="2:4" x14ac:dyDescent="0.2">
      <c r="B9" s="2" t="s">
        <v>43</v>
      </c>
      <c r="C9" s="24">
        <f>SUM('Cost of CO2 Avoided'!I9:K9)</f>
        <v>261974764.58999997</v>
      </c>
      <c r="D9" s="2" t="s">
        <v>48</v>
      </c>
    </row>
    <row r="10" spans="2:4" x14ac:dyDescent="0.2">
      <c r="B10" s="2" t="s">
        <v>180</v>
      </c>
      <c r="C10" s="100">
        <f>NPV('Input Parameters'!D36,'Cost of CO2 Avoided'!M11:U11)+'Cost of CO2 Avoided'!L11</f>
        <v>714217766.07301688</v>
      </c>
      <c r="D10" s="2" t="s">
        <v>48</v>
      </c>
    </row>
    <row r="11" spans="2:4" x14ac:dyDescent="0.2">
      <c r="B11" s="2" t="s">
        <v>181</v>
      </c>
      <c r="C11" s="100">
        <f>-PV('Input Parameters'!D36,C7,C6)</f>
        <v>-273628028.08057648</v>
      </c>
      <c r="D11" s="2" t="s">
        <v>48</v>
      </c>
    </row>
    <row r="13" spans="2:4" x14ac:dyDescent="0.2">
      <c r="B13" s="2" t="s">
        <v>183</v>
      </c>
      <c r="C13" s="24">
        <f>SUM(C9:C11)</f>
        <v>702564502.58244038</v>
      </c>
      <c r="D13" s="2" t="s">
        <v>48</v>
      </c>
    </row>
    <row r="14" spans="2:4" x14ac:dyDescent="0.2">
      <c r="B14" s="2" t="s">
        <v>187</v>
      </c>
      <c r="C14" s="75">
        <v>0.5</v>
      </c>
      <c r="D14" s="2" t="s">
        <v>12</v>
      </c>
    </row>
    <row r="15" spans="2:4" x14ac:dyDescent="0.2">
      <c r="B15" s="22" t="s">
        <v>184</v>
      </c>
      <c r="C15" s="32">
        <f>C14*C13</f>
        <v>351282251.29122019</v>
      </c>
      <c r="D15" s="2" t="s">
        <v>48</v>
      </c>
    </row>
    <row r="16" spans="2:4" x14ac:dyDescent="0.2">
      <c r="B16" s="2" t="s">
        <v>309</v>
      </c>
      <c r="C16" s="4">
        <f>-(NPV('Input Parameters'!D36,'Cost of CO2 Avoided'!J10:K10)+'Cost of CO2 Avoided'!I10)</f>
        <v>0</v>
      </c>
    </row>
    <row r="19" spans="2:11" ht="23" x14ac:dyDescent="0.25">
      <c r="B19" s="248" t="s">
        <v>303</v>
      </c>
      <c r="C19" s="248"/>
      <c r="D19" s="248"/>
    </row>
    <row r="20" spans="2:11" ht="18" thickBot="1" x14ac:dyDescent="0.25">
      <c r="B20" s="10" t="s">
        <v>147</v>
      </c>
      <c r="C20" s="1" t="s">
        <v>3</v>
      </c>
      <c r="D20" s="1" t="s">
        <v>2</v>
      </c>
    </row>
    <row r="21" spans="2:11" x14ac:dyDescent="0.2">
      <c r="B21" s="2" t="s">
        <v>279</v>
      </c>
      <c r="C21" s="8">
        <v>124</v>
      </c>
      <c r="D21" s="2" t="s">
        <v>197</v>
      </c>
    </row>
    <row r="22" spans="2:11" x14ac:dyDescent="0.2">
      <c r="B22" s="2" t="s">
        <v>189</v>
      </c>
      <c r="C22" s="2">
        <v>15</v>
      </c>
      <c r="D22" s="2" t="s">
        <v>65</v>
      </c>
      <c r="E22" s="18"/>
    </row>
    <row r="23" spans="2:11" x14ac:dyDescent="0.2">
      <c r="B23" s="2" t="s">
        <v>307</v>
      </c>
      <c r="C23" s="100">
        <f>-(NPV('Input Parameters'!$D$36,'Cost of CO2 Avoided'!J20:Z20)+'Cost of CO2 Avoided'!I20)</f>
        <v>0</v>
      </c>
      <c r="D23" s="2" t="s">
        <v>308</v>
      </c>
    </row>
    <row r="25" spans="2:11" ht="23" x14ac:dyDescent="0.25">
      <c r="B25" s="248" t="s">
        <v>304</v>
      </c>
      <c r="C25" s="248"/>
      <c r="D25" s="248"/>
    </row>
    <row r="26" spans="2:11" ht="18" thickBot="1" x14ac:dyDescent="0.25">
      <c r="B26" s="10" t="s">
        <v>147</v>
      </c>
      <c r="C26" s="1" t="s">
        <v>3</v>
      </c>
      <c r="D26" s="1" t="s">
        <v>2</v>
      </c>
    </row>
    <row r="27" spans="2:11" x14ac:dyDescent="0.2">
      <c r="B27" s="2" t="s">
        <v>305</v>
      </c>
      <c r="C27" s="56">
        <v>51.84</v>
      </c>
      <c r="D27" s="2" t="s">
        <v>197</v>
      </c>
    </row>
    <row r="28" spans="2:11" x14ac:dyDescent="0.2">
      <c r="B28" s="2" t="s">
        <v>189</v>
      </c>
      <c r="C28" s="2">
        <v>20</v>
      </c>
      <c r="D28" s="2" t="s">
        <v>65</v>
      </c>
      <c r="K28" s="41"/>
    </row>
    <row r="29" spans="2:11" x14ac:dyDescent="0.2">
      <c r="B29" s="2" t="s">
        <v>307</v>
      </c>
      <c r="C29" s="100">
        <f>-(NPV('Input Parameters'!D36,'Cost of CO2 Avoided'!J21:AE21)+'Cost of CO2 Avoided'!I21)</f>
        <v>0</v>
      </c>
      <c r="D29" s="2" t="s">
        <v>48</v>
      </c>
    </row>
    <row r="31" spans="2:11" ht="23" x14ac:dyDescent="0.25">
      <c r="B31" s="248" t="s">
        <v>190</v>
      </c>
      <c r="C31" s="248"/>
      <c r="D31" s="248"/>
    </row>
    <row r="32" spans="2:11" ht="18" thickBot="1" x14ac:dyDescent="0.25">
      <c r="B32" s="10" t="s">
        <v>147</v>
      </c>
      <c r="C32" s="1" t="s">
        <v>3</v>
      </c>
      <c r="D32" s="1" t="s">
        <v>2</v>
      </c>
    </row>
    <row r="33" spans="2:5" x14ac:dyDescent="0.2">
      <c r="B33" s="2" t="s">
        <v>190</v>
      </c>
      <c r="C33" s="2">
        <v>30</v>
      </c>
      <c r="D33" s="2" t="s">
        <v>197</v>
      </c>
      <c r="E33" s="18"/>
    </row>
    <row r="34" spans="2:5" x14ac:dyDescent="0.2">
      <c r="B34" s="2" t="s">
        <v>189</v>
      </c>
      <c r="C34" s="2">
        <v>15</v>
      </c>
      <c r="D34" s="2" t="s">
        <v>65</v>
      </c>
    </row>
    <row r="35" spans="2:5" x14ac:dyDescent="0.2">
      <c r="B35" s="2" t="s">
        <v>306</v>
      </c>
      <c r="C35" s="100">
        <f>-(NPV('Input Parameters'!D36,'Cost of CO2 Avoided'!J22:Z22)+'Cost of CO2 Avoided'!I22)</f>
        <v>0</v>
      </c>
      <c r="D35" s="2" t="s">
        <v>48</v>
      </c>
    </row>
    <row r="36" spans="2:5" x14ac:dyDescent="0.2">
      <c r="C36" s="4"/>
    </row>
  </sheetData>
  <mergeCells count="4">
    <mergeCell ref="B4:D4"/>
    <mergeCell ref="B19:D19"/>
    <mergeCell ref="B31:D31"/>
    <mergeCell ref="B25:D25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4E8E-555D-4640-91FB-5434913B6729}">
  <dimension ref="B2:P61"/>
  <sheetViews>
    <sheetView topLeftCell="B45" zoomScale="115" zoomScaleNormal="91" workbookViewId="0">
      <selection activeCell="I53" sqref="I53"/>
    </sheetView>
  </sheetViews>
  <sheetFormatPr baseColWidth="10" defaultRowHeight="16" x14ac:dyDescent="0.2"/>
  <cols>
    <col min="1" max="1" width="10.83203125" style="2"/>
    <col min="2" max="2" width="24.83203125" style="2" customWidth="1"/>
    <col min="3" max="3" width="19.33203125" style="2" customWidth="1"/>
    <col min="4" max="4" width="18.33203125" style="2" customWidth="1"/>
    <col min="5" max="5" width="23.1640625" style="2" customWidth="1"/>
    <col min="6" max="6" width="19.33203125" style="2" bestFit="1" customWidth="1"/>
    <col min="7" max="7" width="25.5" style="2" customWidth="1"/>
    <col min="8" max="8" width="23.83203125" style="2" bestFit="1" customWidth="1"/>
    <col min="9" max="9" width="23.83203125" style="2" customWidth="1"/>
    <col min="10" max="10" width="26.1640625" style="2" customWidth="1"/>
    <col min="11" max="11" width="16.83203125" style="2" bestFit="1" customWidth="1"/>
    <col min="12" max="12" width="17.33203125" style="2" bestFit="1" customWidth="1"/>
    <col min="13" max="13" width="19.33203125" style="2" bestFit="1" customWidth="1"/>
    <col min="14" max="14" width="17.5" style="2" bestFit="1" customWidth="1"/>
    <col min="15" max="15" width="25.83203125" style="2" customWidth="1"/>
    <col min="16" max="16" width="19.6640625" style="2" bestFit="1" customWidth="1"/>
    <col min="17" max="17" width="19.5" style="2" bestFit="1" customWidth="1"/>
    <col min="18" max="18" width="16.6640625" style="2" bestFit="1" customWidth="1"/>
    <col min="19" max="16384" width="10.83203125" style="2"/>
  </cols>
  <sheetData>
    <row r="2" spans="2:16" ht="35" thickBot="1" x14ac:dyDescent="0.25">
      <c r="B2" s="36"/>
      <c r="C2" s="33" t="s">
        <v>193</v>
      </c>
      <c r="D2" s="33" t="s">
        <v>194</v>
      </c>
      <c r="E2" s="110" t="s">
        <v>379</v>
      </c>
      <c r="F2" s="33" t="s">
        <v>285</v>
      </c>
      <c r="G2" s="33" t="s">
        <v>195</v>
      </c>
      <c r="H2" s="33" t="s">
        <v>196</v>
      </c>
    </row>
    <row r="3" spans="2:16" ht="17" x14ac:dyDescent="0.2">
      <c r="B3" s="35" t="s">
        <v>753</v>
      </c>
      <c r="C3" s="2" t="s">
        <v>79</v>
      </c>
      <c r="D3" s="2" t="s">
        <v>80</v>
      </c>
      <c r="E3" s="9" t="s">
        <v>79</v>
      </c>
      <c r="F3" s="2" t="s">
        <v>80</v>
      </c>
      <c r="G3" s="2" t="s">
        <v>80</v>
      </c>
      <c r="H3" s="2" t="s">
        <v>80</v>
      </c>
    </row>
    <row r="4" spans="2:16" x14ac:dyDescent="0.2">
      <c r="B4" s="35" t="s">
        <v>754</v>
      </c>
      <c r="C4" s="2" t="s">
        <v>79</v>
      </c>
      <c r="D4" s="2" t="s">
        <v>79</v>
      </c>
      <c r="E4" s="2" t="s">
        <v>79</v>
      </c>
      <c r="F4" s="2" t="s">
        <v>80</v>
      </c>
      <c r="G4" s="2" t="s">
        <v>80</v>
      </c>
      <c r="H4" s="2" t="s">
        <v>80</v>
      </c>
    </row>
    <row r="5" spans="2:16" x14ac:dyDescent="0.2">
      <c r="B5" s="35" t="s">
        <v>755</v>
      </c>
      <c r="C5" s="2" t="s">
        <v>79</v>
      </c>
      <c r="D5" s="2" t="s">
        <v>79</v>
      </c>
      <c r="E5" s="2" t="s">
        <v>79</v>
      </c>
      <c r="F5" s="2" t="s">
        <v>79</v>
      </c>
      <c r="G5" s="2" t="s">
        <v>80</v>
      </c>
      <c r="H5" s="2" t="s">
        <v>80</v>
      </c>
    </row>
    <row r="6" spans="2:16" x14ac:dyDescent="0.2">
      <c r="B6" s="35" t="s">
        <v>756</v>
      </c>
      <c r="C6" s="2" t="s">
        <v>79</v>
      </c>
      <c r="D6" s="2" t="s">
        <v>79</v>
      </c>
      <c r="E6" s="2" t="s">
        <v>79</v>
      </c>
      <c r="F6" s="2" t="s">
        <v>80</v>
      </c>
      <c r="G6" s="2" t="s">
        <v>79</v>
      </c>
      <c r="H6" s="2" t="s">
        <v>80</v>
      </c>
    </row>
    <row r="7" spans="2:16" x14ac:dyDescent="0.2">
      <c r="B7" s="35" t="s">
        <v>757</v>
      </c>
      <c r="C7" s="2" t="s">
        <v>79</v>
      </c>
      <c r="D7" s="2" t="s">
        <v>79</v>
      </c>
      <c r="E7" s="2" t="s">
        <v>79</v>
      </c>
      <c r="F7" s="2" t="s">
        <v>80</v>
      </c>
      <c r="G7" s="2" t="s">
        <v>80</v>
      </c>
      <c r="H7" s="2" t="s">
        <v>79</v>
      </c>
    </row>
    <row r="8" spans="2:16" x14ac:dyDescent="0.2">
      <c r="B8" s="35" t="s">
        <v>758</v>
      </c>
      <c r="C8" s="2" t="s">
        <v>79</v>
      </c>
      <c r="D8" s="2" t="s">
        <v>79</v>
      </c>
      <c r="E8" s="2" t="s">
        <v>79</v>
      </c>
      <c r="F8" s="2" t="s">
        <v>79</v>
      </c>
      <c r="G8" s="2" t="s">
        <v>79</v>
      </c>
      <c r="H8" s="2" t="s">
        <v>80</v>
      </c>
    </row>
    <row r="9" spans="2:16" x14ac:dyDescent="0.2">
      <c r="B9" s="35" t="s">
        <v>759</v>
      </c>
      <c r="C9" s="2" t="s">
        <v>79</v>
      </c>
      <c r="D9" s="2" t="s">
        <v>79</v>
      </c>
      <c r="E9" s="2" t="s">
        <v>79</v>
      </c>
      <c r="F9" s="2" t="s">
        <v>80</v>
      </c>
      <c r="G9" s="2" t="s">
        <v>79</v>
      </c>
      <c r="H9" s="2" t="s">
        <v>79</v>
      </c>
    </row>
    <row r="12" spans="2:16" ht="20" x14ac:dyDescent="0.2">
      <c r="B12" s="38" t="s">
        <v>277</v>
      </c>
      <c r="C12" s="38"/>
      <c r="D12" s="38"/>
      <c r="E12" s="38"/>
      <c r="F12" s="38"/>
      <c r="G12" s="38"/>
      <c r="H12" s="37"/>
      <c r="J12" s="38" t="s">
        <v>282</v>
      </c>
      <c r="K12" s="38"/>
      <c r="L12" s="38"/>
      <c r="M12" s="38"/>
      <c r="N12" s="38"/>
      <c r="O12" s="38"/>
      <c r="P12" s="38"/>
    </row>
    <row r="14" spans="2:16" ht="18" thickBot="1" x14ac:dyDescent="0.25">
      <c r="B14" s="39"/>
      <c r="C14" s="17" t="s">
        <v>159</v>
      </c>
      <c r="D14" s="17" t="s">
        <v>198</v>
      </c>
      <c r="E14" s="17" t="s">
        <v>313</v>
      </c>
      <c r="F14" s="17" t="s">
        <v>278</v>
      </c>
      <c r="G14" s="63" t="s">
        <v>314</v>
      </c>
      <c r="H14" s="17" t="s">
        <v>311</v>
      </c>
      <c r="J14" s="39"/>
      <c r="K14" s="17" t="s">
        <v>159</v>
      </c>
      <c r="L14" s="17" t="s">
        <v>198</v>
      </c>
      <c r="M14" s="17" t="s">
        <v>313</v>
      </c>
      <c r="N14" s="17" t="s">
        <v>278</v>
      </c>
      <c r="O14" s="63" t="s">
        <v>314</v>
      </c>
      <c r="P14" s="17" t="s">
        <v>311</v>
      </c>
    </row>
    <row r="15" spans="2:16" x14ac:dyDescent="0.2">
      <c r="B15" s="35" t="s">
        <v>753</v>
      </c>
      <c r="C15" s="40">
        <v>142.09100000000001</v>
      </c>
      <c r="D15" s="40">
        <v>69.270809999999997</v>
      </c>
      <c r="E15" s="40"/>
      <c r="F15" s="40"/>
      <c r="G15" s="40"/>
      <c r="H15" s="4">
        <v>155.42380450632399</v>
      </c>
      <c r="J15" s="35" t="s">
        <v>753</v>
      </c>
      <c r="K15" s="40">
        <v>142.09100000000001</v>
      </c>
      <c r="L15" s="40">
        <v>69.270809999999997</v>
      </c>
      <c r="M15" s="4"/>
      <c r="N15" s="4"/>
      <c r="O15" s="4"/>
      <c r="P15" s="4">
        <v>155.42380450632399</v>
      </c>
    </row>
    <row r="16" spans="2:16" x14ac:dyDescent="0.2">
      <c r="B16" s="35" t="s">
        <v>754</v>
      </c>
      <c r="C16" s="40">
        <v>237.97</v>
      </c>
      <c r="D16" s="40">
        <v>162.75029000000001</v>
      </c>
      <c r="E16" s="40"/>
      <c r="F16" s="40"/>
      <c r="G16" s="40"/>
      <c r="H16" s="40">
        <v>242.91037661360099</v>
      </c>
      <c r="J16" s="35" t="s">
        <v>754</v>
      </c>
      <c r="K16" s="4">
        <v>280.60899999999998</v>
      </c>
      <c r="L16" s="4">
        <v>205.38914</v>
      </c>
      <c r="M16" s="4"/>
      <c r="N16" s="4"/>
      <c r="O16" s="4"/>
      <c r="P16" s="40">
        <v>283.81472745352897</v>
      </c>
    </row>
    <row r="17" spans="2:16" x14ac:dyDescent="0.2">
      <c r="B17" s="59" t="s">
        <v>755</v>
      </c>
      <c r="C17" s="137">
        <v>237.97</v>
      </c>
      <c r="D17" s="62">
        <v>96.664490000000001</v>
      </c>
      <c r="E17" s="62">
        <f>$D$16-D17</f>
        <v>66.085800000000006</v>
      </c>
      <c r="F17" s="62">
        <v>324348909.60000002</v>
      </c>
      <c r="G17" s="65">
        <f>E17/D16</f>
        <v>0.40605641931575054</v>
      </c>
      <c r="H17" s="62"/>
      <c r="J17" s="59" t="s">
        <v>755</v>
      </c>
      <c r="K17" s="134">
        <v>280.60899999999998</v>
      </c>
      <c r="L17" s="60">
        <v>127.19889000000001</v>
      </c>
      <c r="M17" s="60">
        <f>L16-L17</f>
        <v>78.190249999999992</v>
      </c>
      <c r="N17" s="60">
        <v>402845283.97000003</v>
      </c>
      <c r="O17" s="68">
        <f>M17/L16</f>
        <v>0.38069320510324933</v>
      </c>
      <c r="P17" s="60"/>
    </row>
    <row r="18" spans="2:16" x14ac:dyDescent="0.2">
      <c r="B18" s="35" t="s">
        <v>756</v>
      </c>
      <c r="C18" s="138">
        <v>237.97</v>
      </c>
      <c r="D18" s="44">
        <v>117.81555</v>
      </c>
      <c r="E18" s="44">
        <f>$D$16-D18</f>
        <v>44.934740000000005</v>
      </c>
      <c r="F18" s="44">
        <v>203599744.91</v>
      </c>
      <c r="G18" s="66">
        <f>E18/D16</f>
        <v>0.27609622078092766</v>
      </c>
      <c r="H18" s="44"/>
      <c r="J18" s="35" t="s">
        <v>756</v>
      </c>
      <c r="K18" s="135">
        <v>280.60899999999998</v>
      </c>
      <c r="L18" s="56">
        <v>160.45441</v>
      </c>
      <c r="M18" s="56">
        <f>L16-L18</f>
        <v>44.934730000000002</v>
      </c>
      <c r="N18" s="56">
        <v>203599744.91</v>
      </c>
      <c r="O18" s="69">
        <f>M18/L16</f>
        <v>0.21877850990563572</v>
      </c>
      <c r="P18" s="56"/>
    </row>
    <row r="19" spans="2:16" x14ac:dyDescent="0.2">
      <c r="B19" s="35" t="s">
        <v>757</v>
      </c>
      <c r="C19" s="138">
        <v>237.97</v>
      </c>
      <c r="D19" s="44">
        <v>131.12665999999999</v>
      </c>
      <c r="E19" s="44">
        <f>$D$16-D19</f>
        <v>31.62363000000002</v>
      </c>
      <c r="F19" s="44">
        <v>143286977.62</v>
      </c>
      <c r="G19" s="66">
        <f>E19/D16</f>
        <v>0.19430767220138298</v>
      </c>
      <c r="H19" s="44"/>
      <c r="J19" s="35" t="s">
        <v>757</v>
      </c>
      <c r="K19" s="135">
        <v>280.60899999999998</v>
      </c>
      <c r="L19" s="56">
        <v>173.76551000000001</v>
      </c>
      <c r="M19" s="56">
        <f>L16-L19</f>
        <v>31.623629999999991</v>
      </c>
      <c r="N19" s="56">
        <v>143286977.62</v>
      </c>
      <c r="O19" s="69">
        <f>M19/L16</f>
        <v>0.15396933839832033</v>
      </c>
      <c r="P19" s="56"/>
    </row>
    <row r="20" spans="2:16" x14ac:dyDescent="0.2">
      <c r="B20" s="35" t="s">
        <v>758</v>
      </c>
      <c r="C20" s="138">
        <v>237.97</v>
      </c>
      <c r="D20" s="44">
        <v>51.729750000000003</v>
      </c>
      <c r="E20" s="44">
        <f>$D$16-D20</f>
        <v>111.02054000000001</v>
      </c>
      <c r="F20" s="44">
        <v>527948654.50999999</v>
      </c>
      <c r="G20" s="66">
        <f>E20/D16</f>
        <v>0.6821526400966782</v>
      </c>
      <c r="H20" s="44"/>
      <c r="J20" s="35" t="s">
        <v>758</v>
      </c>
      <c r="K20" s="135">
        <v>280.60899999999998</v>
      </c>
      <c r="L20" s="4">
        <v>82.264150000000001</v>
      </c>
      <c r="M20" s="56">
        <f>L16-L20</f>
        <v>123.12499</v>
      </c>
      <c r="N20" s="56">
        <v>606445028.88</v>
      </c>
      <c r="O20" s="69">
        <f>M20/L16</f>
        <v>0.5994717636969511</v>
      </c>
      <c r="P20" s="56"/>
    </row>
    <row r="21" spans="2:16" ht="17" thickBot="1" x14ac:dyDescent="0.25">
      <c r="B21" s="36" t="s">
        <v>759</v>
      </c>
      <c r="C21" s="139">
        <v>237.97</v>
      </c>
      <c r="D21" s="61">
        <v>86.191919999999996</v>
      </c>
      <c r="E21" s="64">
        <f>$D$16-D21</f>
        <v>76.558370000000011</v>
      </c>
      <c r="F21" s="61">
        <v>346886722.54000002</v>
      </c>
      <c r="G21" s="67">
        <f>E21/D16</f>
        <v>0.47040389298231056</v>
      </c>
      <c r="H21" s="61"/>
      <c r="J21" s="36" t="s">
        <v>759</v>
      </c>
      <c r="K21" s="136">
        <v>280.60899999999998</v>
      </c>
      <c r="L21" s="61">
        <v>128.83078</v>
      </c>
      <c r="M21" s="61">
        <f>L16-L21</f>
        <v>76.558359999999993</v>
      </c>
      <c r="N21" s="61">
        <v>346886722.54000002</v>
      </c>
      <c r="O21" s="70">
        <f>M21/L16</f>
        <v>0.37274784830395608</v>
      </c>
      <c r="P21" s="61"/>
    </row>
    <row r="23" spans="2:16" ht="20" x14ac:dyDescent="0.2">
      <c r="B23" s="38" t="s">
        <v>281</v>
      </c>
      <c r="C23" s="38"/>
      <c r="D23" s="38"/>
      <c r="E23" s="38"/>
      <c r="F23" s="38"/>
      <c r="G23" s="38"/>
      <c r="H23" s="38"/>
      <c r="J23" s="38" t="s">
        <v>283</v>
      </c>
      <c r="K23" s="38"/>
      <c r="L23" s="38"/>
      <c r="M23" s="38"/>
      <c r="N23" s="38"/>
      <c r="O23" s="38"/>
      <c r="P23" s="38"/>
    </row>
    <row r="25" spans="2:16" ht="18" thickBot="1" x14ac:dyDescent="0.25">
      <c r="B25" s="39"/>
      <c r="C25" s="17" t="s">
        <v>159</v>
      </c>
      <c r="D25" s="17" t="s">
        <v>198</v>
      </c>
      <c r="E25" s="17" t="s">
        <v>313</v>
      </c>
      <c r="F25" s="17" t="s">
        <v>278</v>
      </c>
      <c r="G25" s="63" t="s">
        <v>314</v>
      </c>
      <c r="H25" s="17" t="s">
        <v>312</v>
      </c>
      <c r="J25" s="39"/>
      <c r="K25" s="17" t="s">
        <v>159</v>
      </c>
      <c r="L25" s="17" t="s">
        <v>198</v>
      </c>
      <c r="M25" s="17" t="s">
        <v>313</v>
      </c>
      <c r="N25" s="17" t="s">
        <v>278</v>
      </c>
      <c r="O25" s="63" t="s">
        <v>314</v>
      </c>
      <c r="P25" s="17" t="s">
        <v>311</v>
      </c>
    </row>
    <row r="26" spans="2:16" x14ac:dyDescent="0.2">
      <c r="B26" s="35" t="s">
        <v>753</v>
      </c>
      <c r="C26" s="4">
        <v>148.91300000000001</v>
      </c>
      <c r="D26" s="4">
        <v>55.666930000000001</v>
      </c>
      <c r="E26" s="4"/>
      <c r="F26" s="4"/>
      <c r="G26" s="4"/>
      <c r="H26" s="4">
        <v>137.261100040087</v>
      </c>
      <c r="J26" s="35" t="s">
        <v>753</v>
      </c>
      <c r="K26" s="4">
        <v>148.91300000000001</v>
      </c>
      <c r="L26" s="4">
        <v>55.666930000000001</v>
      </c>
      <c r="M26" s="4"/>
      <c r="N26" s="4"/>
      <c r="O26" s="4"/>
      <c r="P26" s="106">
        <v>137.261100040087</v>
      </c>
    </row>
    <row r="27" spans="2:16" x14ac:dyDescent="0.2">
      <c r="B27" s="35" t="s">
        <v>754</v>
      </c>
      <c r="C27" s="4">
        <v>196.75299999999999</v>
      </c>
      <c r="D27" s="4">
        <v>100.45563</v>
      </c>
      <c r="E27" s="4"/>
      <c r="F27" s="4"/>
      <c r="G27" s="4"/>
      <c r="H27" s="4">
        <v>178.77001008029899</v>
      </c>
      <c r="J27" s="35" t="s">
        <v>754</v>
      </c>
      <c r="K27" s="4">
        <v>197.476</v>
      </c>
      <c r="L27" s="4">
        <v>101.17819</v>
      </c>
      <c r="M27" s="4"/>
      <c r="N27" s="4"/>
      <c r="O27" s="4"/>
      <c r="P27" s="4">
        <v>179.46697692526601</v>
      </c>
    </row>
    <row r="28" spans="2:16" x14ac:dyDescent="0.2">
      <c r="B28" s="59" t="s">
        <v>755</v>
      </c>
      <c r="C28" s="134">
        <v>196.75299999999999</v>
      </c>
      <c r="D28" s="60">
        <v>46.044330000000002</v>
      </c>
      <c r="E28" s="60">
        <f>$D27-$D28</f>
        <v>54.411299999999997</v>
      </c>
      <c r="F28" s="60">
        <v>250137146.41999999</v>
      </c>
      <c r="G28" s="68">
        <f>E28/D27</f>
        <v>0.54164510241984443</v>
      </c>
      <c r="H28" s="60"/>
      <c r="J28" s="59" t="s">
        <v>755</v>
      </c>
      <c r="K28" s="134">
        <v>197.476</v>
      </c>
      <c r="L28" s="60">
        <v>46.537909999999997</v>
      </c>
      <c r="M28" s="60">
        <f>L27-L28</f>
        <v>54.640280000000004</v>
      </c>
      <c r="N28" s="60">
        <v>251476715.81</v>
      </c>
      <c r="O28" s="68">
        <f>M28/L27</f>
        <v>0.54004010152780957</v>
      </c>
      <c r="P28" s="60"/>
    </row>
    <row r="29" spans="2:16" x14ac:dyDescent="0.2">
      <c r="B29" s="35" t="s">
        <v>756</v>
      </c>
      <c r="C29" s="135">
        <v>196.75299999999999</v>
      </c>
      <c r="D29" s="56">
        <v>42.398229999999998</v>
      </c>
      <c r="E29" s="56">
        <f>D27-D29</f>
        <v>58.057400000000001</v>
      </c>
      <c r="F29" s="4">
        <v>264909439.66999999</v>
      </c>
      <c r="G29" s="69">
        <f>E29/D27</f>
        <v>0.57794072865801549</v>
      </c>
      <c r="H29" s="56"/>
      <c r="J29" s="35" t="s">
        <v>756</v>
      </c>
      <c r="K29" s="135">
        <v>197.476</v>
      </c>
      <c r="L29" s="56">
        <v>43.12079</v>
      </c>
      <c r="M29" s="56">
        <f>L27-L29</f>
        <v>58.057400000000001</v>
      </c>
      <c r="N29" s="56">
        <v>264909439.66999999</v>
      </c>
      <c r="O29" s="69">
        <f>M29/L27</f>
        <v>0.57381338804341131</v>
      </c>
      <c r="P29" s="56"/>
    </row>
    <row r="30" spans="2:16" x14ac:dyDescent="0.2">
      <c r="B30" s="35" t="s">
        <v>757</v>
      </c>
      <c r="C30" s="135">
        <v>196.75299999999999</v>
      </c>
      <c r="D30" s="56">
        <v>69.052940000000007</v>
      </c>
      <c r="E30" s="56">
        <f>D27-D30</f>
        <v>31.402689999999993</v>
      </c>
      <c r="F30" s="56">
        <v>143286977.62</v>
      </c>
      <c r="G30" s="69">
        <f>E30/D27</f>
        <v>0.31260258882453867</v>
      </c>
      <c r="H30" s="56"/>
      <c r="J30" s="35" t="s">
        <v>757</v>
      </c>
      <c r="K30" s="135">
        <v>197.476</v>
      </c>
      <c r="L30" s="106">
        <v>69.775499999999994</v>
      </c>
      <c r="M30" s="56">
        <f>L27-L30</f>
        <v>31.402690000000007</v>
      </c>
      <c r="N30" s="56">
        <v>143286977.62</v>
      </c>
      <c r="O30" s="69">
        <f>M30/L27</f>
        <v>0.31037014993053352</v>
      </c>
      <c r="P30" s="56"/>
    </row>
    <row r="31" spans="2:16" x14ac:dyDescent="0.2">
      <c r="B31" s="35" t="s">
        <v>758</v>
      </c>
      <c r="C31" s="135">
        <v>196.75299999999999</v>
      </c>
      <c r="D31" s="56">
        <v>-12.013059999999999</v>
      </c>
      <c r="E31" s="56">
        <f>D27-D31</f>
        <v>112.46869</v>
      </c>
      <c r="F31" s="56">
        <v>515046586.08999997</v>
      </c>
      <c r="G31" s="69">
        <f>E31/D27</f>
        <v>1.1195857315314233</v>
      </c>
      <c r="H31" s="56"/>
      <c r="J31" s="35" t="s">
        <v>758</v>
      </c>
      <c r="K31" s="135">
        <v>197.476</v>
      </c>
      <c r="L31" s="56">
        <v>-11.519489999999999</v>
      </c>
      <c r="M31" s="56">
        <f>L27-L31</f>
        <v>112.69768000000001</v>
      </c>
      <c r="N31" s="56">
        <v>516386155.48000002</v>
      </c>
      <c r="O31" s="69">
        <f>M31/L27</f>
        <v>1.1138534895712209</v>
      </c>
      <c r="P31" s="56"/>
    </row>
    <row r="32" spans="2:16" ht="17" thickBot="1" x14ac:dyDescent="0.25">
      <c r="B32" s="36" t="s">
        <v>759</v>
      </c>
      <c r="C32" s="136">
        <v>196.75299999999999</v>
      </c>
      <c r="D32" s="61">
        <v>17.59374</v>
      </c>
      <c r="E32" s="61">
        <f>D27-D32</f>
        <v>82.861890000000002</v>
      </c>
      <c r="F32" s="61">
        <v>408196417.30000001</v>
      </c>
      <c r="G32" s="70">
        <f>E32/D27</f>
        <v>0.8248605877042432</v>
      </c>
      <c r="H32" s="61"/>
      <c r="J32" s="36" t="s">
        <v>759</v>
      </c>
      <c r="K32" s="136">
        <v>197.476</v>
      </c>
      <c r="L32" s="61">
        <v>18.18412</v>
      </c>
      <c r="M32" s="61">
        <f>L27-L32</f>
        <v>82.994069999999994</v>
      </c>
      <c r="N32" s="61">
        <v>408196417.30000001</v>
      </c>
      <c r="O32" s="70">
        <f>M32/L27</f>
        <v>0.82027628681635822</v>
      </c>
      <c r="P32" s="61"/>
    </row>
    <row r="34" spans="2:11" ht="20" x14ac:dyDescent="0.2">
      <c r="B34" s="38" t="s">
        <v>332</v>
      </c>
      <c r="C34" s="38"/>
      <c r="D34" s="38"/>
      <c r="E34" s="38"/>
      <c r="F34" s="38"/>
    </row>
    <row r="35" spans="2:11" x14ac:dyDescent="0.2">
      <c r="G35" s="6"/>
    </row>
    <row r="36" spans="2:11" ht="17" thickBot="1" x14ac:dyDescent="0.25">
      <c r="B36" s="39"/>
      <c r="C36" s="17" t="s">
        <v>335</v>
      </c>
      <c r="D36" s="17" t="s">
        <v>336</v>
      </c>
      <c r="E36" s="17" t="s">
        <v>337</v>
      </c>
      <c r="F36" s="17" t="s">
        <v>338</v>
      </c>
    </row>
    <row r="37" spans="2:11" x14ac:dyDescent="0.2">
      <c r="B37" s="72" t="s">
        <v>333</v>
      </c>
      <c r="C37" s="4">
        <f>'Transport and Storage'!U13</f>
        <v>71.939625000000007</v>
      </c>
      <c r="D37" s="4">
        <f>'Transport and Storage'!U14</f>
        <v>105.57499999999999</v>
      </c>
      <c r="E37" s="4">
        <f>'Transport and Storage'!U7</f>
        <v>34.132499999999993</v>
      </c>
      <c r="F37" s="4">
        <f>'Transport and Storage'!U8</f>
        <v>34.706499999999998</v>
      </c>
      <c r="H37" s="6"/>
    </row>
    <row r="38" spans="2:11" x14ac:dyDescent="0.2">
      <c r="B38" s="72" t="s">
        <v>334</v>
      </c>
      <c r="C38" s="4">
        <f>ETS!$C$5</f>
        <v>72.16</v>
      </c>
      <c r="D38" s="4">
        <f>ETS!$C$5</f>
        <v>72.16</v>
      </c>
      <c r="E38" s="4">
        <f>ETS!$C$5</f>
        <v>72.16</v>
      </c>
      <c r="F38" s="4">
        <f>ETS!$C$5</f>
        <v>72.16</v>
      </c>
    </row>
    <row r="39" spans="2:11" ht="34" x14ac:dyDescent="0.2">
      <c r="B39" s="73" t="s">
        <v>760</v>
      </c>
      <c r="C39" s="155">
        <v>1.46633746897074</v>
      </c>
      <c r="D39" s="155">
        <v>1.52380989539295</v>
      </c>
      <c r="E39" s="155">
        <v>1.03841019292563</v>
      </c>
      <c r="F39" s="155">
        <v>1.04128292612837</v>
      </c>
      <c r="H39" s="6"/>
    </row>
    <row r="40" spans="2:11" ht="34" x14ac:dyDescent="0.2">
      <c r="B40" s="76" t="s">
        <v>761</v>
      </c>
      <c r="C40" s="78">
        <v>951209918.33000004</v>
      </c>
      <c r="D40" s="44">
        <v>1227719260.04</v>
      </c>
      <c r="E40" s="4">
        <v>519489924.93000001</v>
      </c>
      <c r="F40" s="78">
        <v>523716820.98000002</v>
      </c>
      <c r="H40" s="6"/>
      <c r="I40" s="6"/>
      <c r="J40" s="6"/>
      <c r="K40" s="6"/>
    </row>
    <row r="41" spans="2:11" ht="34" x14ac:dyDescent="0.2">
      <c r="B41" s="74" t="s">
        <v>762</v>
      </c>
      <c r="C41" s="56">
        <v>289.56177101642999</v>
      </c>
      <c r="D41" s="56">
        <v>342.32664975503099</v>
      </c>
      <c r="E41" s="56">
        <v>99.906883415994798</v>
      </c>
      <c r="F41" s="56">
        <v>100.56393660449</v>
      </c>
      <c r="H41" s="6"/>
    </row>
    <row r="42" spans="2:11" ht="51" x14ac:dyDescent="0.2">
      <c r="B42" s="74" t="s">
        <v>763</v>
      </c>
      <c r="C42" s="56">
        <f>C41-C38</f>
        <v>217.40177101642999</v>
      </c>
      <c r="D42" s="56">
        <f>D41-D38</f>
        <v>270.16664975503102</v>
      </c>
      <c r="E42" s="56">
        <f>E41</f>
        <v>99.906883415994798</v>
      </c>
      <c r="F42" s="56">
        <f>F41</f>
        <v>100.56393660449</v>
      </c>
    </row>
    <row r="43" spans="2:11" ht="34" x14ac:dyDescent="0.2">
      <c r="B43" s="76" t="s">
        <v>764</v>
      </c>
      <c r="C43" s="81">
        <v>853837675.97000003</v>
      </c>
      <c r="D43" s="78">
        <v>1061069849.03</v>
      </c>
      <c r="E43" s="78">
        <v>510537741.23000002</v>
      </c>
      <c r="F43" s="78">
        <v>513895372.24000001</v>
      </c>
    </row>
    <row r="44" spans="2:11" ht="34" x14ac:dyDescent="0.2">
      <c r="B44" s="74" t="s">
        <v>765</v>
      </c>
      <c r="C44" s="56">
        <v>178.76802696166999</v>
      </c>
      <c r="D44" s="56">
        <v>222.15623498256301</v>
      </c>
      <c r="E44" s="4">
        <v>109.018147364512</v>
      </c>
      <c r="F44" s="56">
        <v>109.74123531607199</v>
      </c>
    </row>
    <row r="45" spans="2:11" ht="35" thickBot="1" x14ac:dyDescent="0.25">
      <c r="B45" s="77" t="s">
        <v>766</v>
      </c>
      <c r="C45" s="79">
        <v>853837675.97000003</v>
      </c>
      <c r="D45" s="79">
        <v>1061069849.03</v>
      </c>
      <c r="E45" s="79">
        <v>520696028.06999999</v>
      </c>
      <c r="F45" s="79">
        <v>524149664.31</v>
      </c>
    </row>
    <row r="47" spans="2:11" ht="20" x14ac:dyDescent="0.2">
      <c r="B47" s="38" t="s">
        <v>339</v>
      </c>
      <c r="C47" s="38"/>
      <c r="D47" s="38"/>
      <c r="E47" s="38"/>
      <c r="F47" s="38"/>
    </row>
    <row r="49" spans="2:9" ht="17" thickBot="1" x14ac:dyDescent="0.25">
      <c r="B49" s="39"/>
      <c r="C49" s="17" t="s">
        <v>335</v>
      </c>
      <c r="D49" s="17" t="s">
        <v>336</v>
      </c>
      <c r="E49" s="17" t="s">
        <v>337</v>
      </c>
      <c r="F49" s="17" t="s">
        <v>338</v>
      </c>
    </row>
    <row r="50" spans="2:9" x14ac:dyDescent="0.2">
      <c r="B50" s="72" t="s">
        <v>333</v>
      </c>
      <c r="C50" s="4">
        <f>C37</f>
        <v>71.939625000000007</v>
      </c>
      <c r="D50" s="4">
        <f t="shared" ref="D50:F50" si="0">D37</f>
        <v>105.57499999999999</v>
      </c>
      <c r="E50" s="4">
        <f t="shared" si="0"/>
        <v>34.132499999999993</v>
      </c>
      <c r="F50" s="4">
        <f t="shared" si="0"/>
        <v>34.706499999999998</v>
      </c>
    </row>
    <row r="51" spans="2:9" x14ac:dyDescent="0.2">
      <c r="B51" s="72" t="s">
        <v>334</v>
      </c>
      <c r="C51" s="4">
        <f>ETS!$C$5</f>
        <v>72.16</v>
      </c>
      <c r="D51" s="4">
        <f>ETS!$C$5</f>
        <v>72.16</v>
      </c>
      <c r="E51" s="4">
        <f>ETS!$C$5</f>
        <v>72.16</v>
      </c>
      <c r="F51" s="4">
        <f>ETS!$C$5</f>
        <v>72.16</v>
      </c>
    </row>
    <row r="52" spans="2:9" ht="51" x14ac:dyDescent="0.2">
      <c r="B52" s="73" t="s">
        <v>767</v>
      </c>
      <c r="C52" s="156">
        <v>1.0171330205579501</v>
      </c>
      <c r="D52" s="157">
        <v>1.1621351313369099</v>
      </c>
      <c r="E52" s="156">
        <v>0.38670465808171001</v>
      </c>
      <c r="F52" s="156">
        <v>0.39119999169711001</v>
      </c>
    </row>
    <row r="53" spans="2:9" ht="34" x14ac:dyDescent="0.2">
      <c r="B53" s="76" t="s">
        <v>768</v>
      </c>
      <c r="C53" s="78">
        <v>863411717.17999995</v>
      </c>
      <c r="D53" s="44">
        <v>1139921058.9000001</v>
      </c>
      <c r="E53" s="78">
        <v>458367839.02999997</v>
      </c>
      <c r="F53" s="78">
        <v>461664817.94999999</v>
      </c>
    </row>
    <row r="54" spans="2:9" ht="51" x14ac:dyDescent="0.2">
      <c r="B54" s="74" t="s">
        <v>769</v>
      </c>
      <c r="C54" s="78">
        <v>183.67923042714199</v>
      </c>
      <c r="D54" s="78">
        <v>218.90594484271699</v>
      </c>
      <c r="E54" s="78">
        <v>41.113421565565901</v>
      </c>
      <c r="F54" s="78">
        <v>41.554136818471001</v>
      </c>
    </row>
    <row r="55" spans="2:9" ht="85" x14ac:dyDescent="0.2">
      <c r="B55" s="74" t="s">
        <v>770</v>
      </c>
      <c r="C55" s="80">
        <f>C54-C51</f>
        <v>111.51923042714199</v>
      </c>
      <c r="D55" s="80">
        <f>D54-D51</f>
        <v>146.74594484271699</v>
      </c>
      <c r="E55" s="80">
        <f>E54</f>
        <v>41.113421565565901</v>
      </c>
      <c r="F55" s="80">
        <f>F54</f>
        <v>41.554136818471001</v>
      </c>
    </row>
    <row r="56" spans="2:9" ht="34" x14ac:dyDescent="0.2">
      <c r="B56" s="76" t="s">
        <v>771</v>
      </c>
      <c r="C56" s="81">
        <v>762336696.39999998</v>
      </c>
      <c r="D56" s="78">
        <v>979184731.04999995</v>
      </c>
      <c r="E56" s="81">
        <v>460232313.66000003</v>
      </c>
      <c r="F56" s="78">
        <v>463823997.83999997</v>
      </c>
    </row>
    <row r="57" spans="2:9" ht="69" customHeight="1" x14ac:dyDescent="0.2">
      <c r="B57" s="74" t="s">
        <v>772</v>
      </c>
      <c r="C57" s="78">
        <v>253.07843984507201</v>
      </c>
      <c r="D57" s="78">
        <v>305.84331858367199</v>
      </c>
      <c r="E57" s="78">
        <v>71.867124133656205</v>
      </c>
      <c r="F57" s="78">
        <v>72.5241773221519</v>
      </c>
    </row>
    <row r="58" spans="2:9" ht="95" customHeight="1" x14ac:dyDescent="0.2">
      <c r="B58" s="74" t="s">
        <v>773</v>
      </c>
      <c r="C58" s="80">
        <f>C57-C51</f>
        <v>180.91843984507202</v>
      </c>
      <c r="D58" s="80">
        <f>D57-D51</f>
        <v>233.68331858367199</v>
      </c>
      <c r="E58" s="80">
        <f>E57</f>
        <v>71.867124133656205</v>
      </c>
      <c r="F58" s="80">
        <f>F57</f>
        <v>72.5241773221519</v>
      </c>
      <c r="H58" s="6"/>
      <c r="I58" s="6"/>
    </row>
    <row r="59" spans="2:9" ht="34" x14ac:dyDescent="0.2">
      <c r="B59" s="76" t="s">
        <v>774</v>
      </c>
      <c r="C59" s="4">
        <v>853837675.97000003</v>
      </c>
      <c r="D59" s="78">
        <v>1061069849.03</v>
      </c>
      <c r="E59" s="78">
        <v>510537741.23000002</v>
      </c>
      <c r="F59" s="78">
        <v>513895372.24000001</v>
      </c>
    </row>
    <row r="60" spans="2:9" ht="51" x14ac:dyDescent="0.2">
      <c r="B60" s="74" t="s">
        <v>775</v>
      </c>
      <c r="C60" s="80">
        <v>136.14034056167</v>
      </c>
      <c r="D60" s="80">
        <v>179.52854858256299</v>
      </c>
      <c r="E60" s="80">
        <v>51.548551194906302</v>
      </c>
      <c r="F60" s="80">
        <v>52.271639146466697</v>
      </c>
    </row>
    <row r="61" spans="2:9" ht="35" thickBot="1" x14ac:dyDescent="0.25">
      <c r="B61" s="77" t="s">
        <v>776</v>
      </c>
      <c r="C61" s="79">
        <v>853837675.97000003</v>
      </c>
      <c r="D61" s="79">
        <v>1061069849.03</v>
      </c>
      <c r="E61" s="79">
        <v>511117309.73000002</v>
      </c>
      <c r="F61" s="79">
        <v>514570945.95999998</v>
      </c>
    </row>
  </sheetData>
  <phoneticPr fontId="9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F6F0-C661-C04B-BE3B-17F17734C0A5}">
  <dimension ref="B3:AQ63"/>
  <sheetViews>
    <sheetView topLeftCell="A32" zoomScale="82" zoomScaleNormal="125" workbookViewId="0">
      <selection activeCell="H61" sqref="A1:XFD1048576"/>
    </sheetView>
  </sheetViews>
  <sheetFormatPr baseColWidth="10" defaultRowHeight="16" x14ac:dyDescent="0.2"/>
  <cols>
    <col min="1" max="1" width="10.83203125" style="2"/>
    <col min="2" max="2" width="33" style="2" customWidth="1"/>
    <col min="3" max="3" width="22.5" style="2" customWidth="1"/>
    <col min="4" max="4" width="20.6640625" style="2" bestFit="1" customWidth="1"/>
    <col min="5" max="5" width="17.5" style="2" customWidth="1"/>
    <col min="6" max="6" width="14" style="2" bestFit="1" customWidth="1"/>
    <col min="7" max="7" width="22" style="2" customWidth="1"/>
    <col min="8" max="8" width="20.83203125" style="2" bestFit="1" customWidth="1"/>
    <col min="9" max="9" width="16.5" style="2" customWidth="1"/>
    <col min="10" max="10" width="19" style="2" customWidth="1"/>
    <col min="11" max="11" width="20.33203125" style="2" customWidth="1"/>
    <col min="12" max="12" width="16" style="2" customWidth="1"/>
    <col min="13" max="13" width="14.5" style="2" customWidth="1"/>
    <col min="14" max="15" width="11" style="2" bestFit="1" customWidth="1"/>
    <col min="16" max="17" width="10.83203125" style="2"/>
    <col min="18" max="19" width="11" style="2" bestFit="1" customWidth="1"/>
    <col min="20" max="20" width="10.5" style="2" customWidth="1"/>
    <col min="21" max="21" width="8" style="2" customWidth="1"/>
    <col min="22" max="25" width="7.33203125" style="2" bestFit="1" customWidth="1"/>
    <col min="26" max="27" width="6.83203125" style="2" bestFit="1" customWidth="1"/>
    <col min="28" max="28" width="8.33203125" style="2" bestFit="1" customWidth="1"/>
    <col min="29" max="29" width="11" style="2" bestFit="1" customWidth="1"/>
    <col min="30" max="31" width="11.1640625" style="2" bestFit="1" customWidth="1"/>
    <col min="32" max="33" width="7.33203125" style="2" bestFit="1" customWidth="1"/>
    <col min="34" max="36" width="6.6640625" style="2" bestFit="1" customWidth="1"/>
    <col min="37" max="40" width="6.83203125" style="2" bestFit="1" customWidth="1"/>
    <col min="41" max="16384" width="10.83203125" style="2"/>
  </cols>
  <sheetData>
    <row r="3" spans="2:37" ht="28" x14ac:dyDescent="0.3">
      <c r="B3" s="235" t="s">
        <v>739</v>
      </c>
      <c r="C3" s="235"/>
      <c r="D3" s="235"/>
      <c r="E3" s="235"/>
      <c r="G3" s="235" t="s">
        <v>159</v>
      </c>
      <c r="H3" s="235"/>
      <c r="I3" s="235"/>
      <c r="J3" s="235"/>
      <c r="L3" s="235" t="s">
        <v>740</v>
      </c>
      <c r="M3" s="235"/>
      <c r="N3" s="235"/>
      <c r="O3" s="235"/>
      <c r="R3" s="250" t="s">
        <v>742</v>
      </c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50"/>
      <c r="AK3" s="250"/>
    </row>
    <row r="5" spans="2:37" ht="17" thickBot="1" x14ac:dyDescent="0.25">
      <c r="B5" s="104" t="s">
        <v>343</v>
      </c>
      <c r="C5" s="104"/>
      <c r="D5" s="104"/>
      <c r="E5" s="104"/>
      <c r="G5" s="104" t="s">
        <v>343</v>
      </c>
      <c r="H5" s="104"/>
      <c r="I5" s="104"/>
      <c r="J5" s="104"/>
      <c r="L5" s="104" t="s">
        <v>343</v>
      </c>
      <c r="M5" s="104"/>
      <c r="N5" s="104"/>
      <c r="O5" s="104"/>
      <c r="R5" s="2" t="s">
        <v>743</v>
      </c>
      <c r="AB5" s="2" t="s">
        <v>744</v>
      </c>
    </row>
    <row r="6" spans="2:37" x14ac:dyDescent="0.2">
      <c r="C6" s="2" t="s">
        <v>341</v>
      </c>
      <c r="D6" s="2" t="s">
        <v>191</v>
      </c>
      <c r="E6" s="2" t="s">
        <v>342</v>
      </c>
      <c r="H6" s="2" t="s">
        <v>341</v>
      </c>
      <c r="I6" s="2" t="s">
        <v>191</v>
      </c>
      <c r="J6" s="2" t="s">
        <v>342</v>
      </c>
      <c r="M6" s="2" t="s">
        <v>341</v>
      </c>
      <c r="N6" s="2" t="s">
        <v>191</v>
      </c>
      <c r="O6" s="2" t="s">
        <v>342</v>
      </c>
    </row>
    <row r="7" spans="2:37" ht="18" x14ac:dyDescent="0.2">
      <c r="B7" s="2" t="s">
        <v>280</v>
      </c>
      <c r="C7" s="8">
        <f>'Transport and Storage'!U17</f>
        <v>38.375999999999998</v>
      </c>
      <c r="D7" s="8">
        <f>'Transport and Storage'!U13</f>
        <v>71.939625000000007</v>
      </c>
      <c r="E7" s="8">
        <f>'Transport and Storage'!U19</f>
        <v>116.86024999999999</v>
      </c>
      <c r="G7" s="2" t="s">
        <v>280</v>
      </c>
      <c r="H7" s="8">
        <v>195.42699999999999</v>
      </c>
      <c r="I7" s="24">
        <f>'Scenario Design'!$C$16</f>
        <v>237.97</v>
      </c>
      <c r="J7" s="8">
        <v>294.91500000000002</v>
      </c>
      <c r="K7" s="8"/>
      <c r="L7" s="2" t="s">
        <v>280</v>
      </c>
      <c r="M7" s="111">
        <f>(H7-I7)/I7</f>
        <v>-0.17877463545825106</v>
      </c>
      <c r="N7" s="20">
        <v>129.47</v>
      </c>
      <c r="O7" s="112">
        <f>(J7-I7)/I7</f>
        <v>0.23929486910114731</v>
      </c>
      <c r="R7" s="102" t="s">
        <v>340</v>
      </c>
      <c r="S7" s="102"/>
      <c r="T7" s="102"/>
      <c r="U7" s="102"/>
      <c r="V7" s="102"/>
      <c r="W7" s="102"/>
      <c r="X7" s="102"/>
      <c r="Y7" s="102"/>
      <c r="AB7" s="102" t="s">
        <v>389</v>
      </c>
      <c r="AC7" s="102"/>
      <c r="AD7" s="102"/>
      <c r="AE7" s="102"/>
      <c r="AF7" s="102"/>
      <c r="AG7" s="102"/>
      <c r="AH7" s="102"/>
      <c r="AI7" s="102"/>
      <c r="AJ7" s="102"/>
      <c r="AK7" s="102"/>
    </row>
    <row r="8" spans="2:37" x14ac:dyDescent="0.2">
      <c r="B8" s="2" t="s">
        <v>346</v>
      </c>
      <c r="C8" s="7">
        <f>D8*0.8</f>
        <v>4.0000000000000008E-2</v>
      </c>
      <c r="D8" s="7">
        <v>0.05</v>
      </c>
      <c r="E8" s="7">
        <f>D8*1.2</f>
        <v>0.06</v>
      </c>
      <c r="G8" s="2" t="s">
        <v>346</v>
      </c>
      <c r="H8" s="8">
        <v>224.72</v>
      </c>
      <c r="I8" s="24">
        <f>'Scenario Design'!$C$16</f>
        <v>237.97</v>
      </c>
      <c r="J8" s="8">
        <v>251.22</v>
      </c>
      <c r="K8" s="8"/>
      <c r="L8" s="2" t="s">
        <v>346</v>
      </c>
      <c r="M8" s="111">
        <f>(H8-I8)/I8</f>
        <v>-5.5679287305122498E-2</v>
      </c>
      <c r="N8" s="20">
        <v>129.47</v>
      </c>
      <c r="O8" s="112">
        <f>(J8-I8)/I8</f>
        <v>5.5679287305122498E-2</v>
      </c>
      <c r="R8" s="103">
        <v>237.97062549387653</v>
      </c>
      <c r="S8" s="152">
        <v>3.5000000000000003E-2</v>
      </c>
      <c r="T8" s="152">
        <v>0.04</v>
      </c>
      <c r="U8" s="152">
        <v>4.4999999999999998E-2</v>
      </c>
      <c r="V8" s="152">
        <v>0.05</v>
      </c>
      <c r="W8" s="152">
        <v>5.5E-2</v>
      </c>
      <c r="X8" s="152">
        <v>0.06</v>
      </c>
      <c r="Y8" s="152">
        <v>6.5000000000000002E-2</v>
      </c>
      <c r="AB8" s="103">
        <v>196.75328223302523</v>
      </c>
      <c r="AC8" s="118">
        <v>0.04</v>
      </c>
      <c r="AD8" s="118">
        <v>0.05</v>
      </c>
      <c r="AE8" s="118">
        <v>0.06</v>
      </c>
      <c r="AF8" s="118">
        <v>7.0000000000000007E-2</v>
      </c>
      <c r="AG8" s="118">
        <v>0.08</v>
      </c>
      <c r="AH8" s="118">
        <v>0.09</v>
      </c>
      <c r="AI8" s="118">
        <v>0.1</v>
      </c>
      <c r="AJ8" s="118">
        <v>0.11</v>
      </c>
      <c r="AK8" s="118">
        <v>0.12</v>
      </c>
    </row>
    <row r="9" spans="2:37" x14ac:dyDescent="0.2">
      <c r="B9" s="2" t="s">
        <v>347</v>
      </c>
      <c r="C9" s="83">
        <f>D9*0.8</f>
        <v>0.15456000000000003</v>
      </c>
      <c r="D9" s="2">
        <v>0.19320000000000001</v>
      </c>
      <c r="E9" s="83">
        <f>D9*1.2</f>
        <v>0.23183999999999999</v>
      </c>
      <c r="G9" s="2" t="s">
        <v>347</v>
      </c>
      <c r="H9" s="8">
        <v>236.53100000000001</v>
      </c>
      <c r="I9" s="24">
        <f>'Scenario Design'!$C$16</f>
        <v>237.97</v>
      </c>
      <c r="J9" s="8">
        <v>239.40899999999999</v>
      </c>
      <c r="K9" s="8"/>
      <c r="L9" s="2" t="s">
        <v>347</v>
      </c>
      <c r="M9" s="111">
        <f>(H9-I9)/I9</f>
        <v>-6.0469807118544057E-3</v>
      </c>
      <c r="N9" s="20">
        <v>129.47</v>
      </c>
      <c r="O9" s="112">
        <f>(J9-I9)/I9</f>
        <v>6.0469807118544057E-3</v>
      </c>
      <c r="R9" s="119">
        <v>38</v>
      </c>
      <c r="S9" s="121">
        <v>175.07071046921484</v>
      </c>
      <c r="T9" s="121">
        <v>181.69567555921478</v>
      </c>
      <c r="U9" s="121">
        <v>188.32064064921468</v>
      </c>
      <c r="V9" s="121">
        <v>194.94560573921461</v>
      </c>
      <c r="W9" s="121">
        <v>201.57057082921457</v>
      </c>
      <c r="X9" s="121">
        <v>208.19553591921456</v>
      </c>
      <c r="Y9" s="122">
        <v>214.82050100921444</v>
      </c>
      <c r="Z9" s="5"/>
      <c r="AB9" s="119">
        <v>0.04</v>
      </c>
      <c r="AC9" s="121">
        <v>157.67422438200157</v>
      </c>
      <c r="AD9" s="121">
        <v>161.14927565193312</v>
      </c>
      <c r="AE9" s="121">
        <v>164.87814445642931</v>
      </c>
      <c r="AF9" s="121">
        <v>168.85421320495007</v>
      </c>
      <c r="AG9" s="121">
        <v>173.07003418462975</v>
      </c>
      <c r="AH9" s="121">
        <v>177.51765240739684</v>
      </c>
      <c r="AI9" s="122">
        <v>182.18888961837348</v>
      </c>
      <c r="AJ9" s="123">
        <v>187.07558352366394</v>
      </c>
      <c r="AK9" s="121">
        <v>192.16978050824537</v>
      </c>
    </row>
    <row r="10" spans="2:37" x14ac:dyDescent="0.2">
      <c r="B10" s="2" t="s">
        <v>63</v>
      </c>
      <c r="C10" s="5">
        <v>0.06</v>
      </c>
      <c r="D10" s="5">
        <v>0.08</v>
      </c>
      <c r="E10" s="5">
        <v>0.1</v>
      </c>
      <c r="G10" s="2" t="s">
        <v>63</v>
      </c>
      <c r="H10" s="8">
        <v>229.91399999999999</v>
      </c>
      <c r="I10" s="24">
        <f>'Scenario Design'!$C$16</f>
        <v>237.97</v>
      </c>
      <c r="J10" s="8">
        <v>246.98099999999999</v>
      </c>
      <c r="K10" s="8"/>
      <c r="L10" s="2" t="s">
        <v>63</v>
      </c>
      <c r="M10" s="111">
        <f>(H10-I10)/I10</f>
        <v>-3.3853006681514523E-2</v>
      </c>
      <c r="N10" s="20">
        <v>129.47</v>
      </c>
      <c r="O10" s="112">
        <f>(J10-I10)/I10</f>
        <v>3.7866117577845929E-2</v>
      </c>
      <c r="R10" s="119">
        <v>45</v>
      </c>
      <c r="S10" s="121">
        <v>183.94446233375916</v>
      </c>
      <c r="T10" s="121">
        <v>190.56942742375907</v>
      </c>
      <c r="U10" s="121">
        <v>197.19439251375903</v>
      </c>
      <c r="V10" s="121">
        <v>203.81935760375899</v>
      </c>
      <c r="W10" s="121">
        <v>210.44432269375881</v>
      </c>
      <c r="X10" s="121">
        <v>217.06928778375882</v>
      </c>
      <c r="Y10" s="124">
        <v>223.69425287375876</v>
      </c>
      <c r="AB10" s="119">
        <v>4.5999999999999999E-2</v>
      </c>
      <c r="AC10" s="121">
        <v>165.77344271929616</v>
      </c>
      <c r="AD10" s="121">
        <v>169.19337277152789</v>
      </c>
      <c r="AE10" s="121">
        <v>172.86969220624445</v>
      </c>
      <c r="AF10" s="121">
        <v>176.795857306377</v>
      </c>
      <c r="AG10" s="121">
        <v>180.96445020076149</v>
      </c>
      <c r="AH10" s="121">
        <v>185.36750722459749</v>
      </c>
      <c r="AI10" s="124">
        <v>189.99680887474986</v>
      </c>
      <c r="AJ10" s="125">
        <v>194.84412503890098</v>
      </c>
      <c r="AK10" s="126">
        <v>199.90141347402627</v>
      </c>
    </row>
    <row r="11" spans="2:37" x14ac:dyDescent="0.2">
      <c r="K11" s="8"/>
      <c r="R11" s="119">
        <v>52</v>
      </c>
      <c r="S11" s="121">
        <v>192.81821419830342</v>
      </c>
      <c r="T11" s="121">
        <v>199.44317928830336</v>
      </c>
      <c r="U11" s="121">
        <v>206.06814437830332</v>
      </c>
      <c r="V11" s="121">
        <v>212.69310946830322</v>
      </c>
      <c r="W11" s="121">
        <v>219.31807455830315</v>
      </c>
      <c r="X11" s="121">
        <v>225.94303964830311</v>
      </c>
      <c r="Y11" s="124">
        <v>232.5680047383031</v>
      </c>
      <c r="AB11" s="119">
        <v>5.1999999999999998E-2</v>
      </c>
      <c r="AC11" s="121">
        <v>173.87266105659077</v>
      </c>
      <c r="AD11" s="121">
        <v>177.23746989112266</v>
      </c>
      <c r="AE11" s="121">
        <v>180.86123995605973</v>
      </c>
      <c r="AF11" s="121">
        <v>184.73750140780382</v>
      </c>
      <c r="AG11" s="121">
        <v>188.85886621689338</v>
      </c>
      <c r="AH11" s="121">
        <v>193.21736204179814</v>
      </c>
      <c r="AI11" s="124">
        <v>197.8047281311263</v>
      </c>
      <c r="AJ11" s="125">
        <v>202.612666554138</v>
      </c>
      <c r="AK11" s="126">
        <v>207.63304643980723</v>
      </c>
    </row>
    <row r="12" spans="2:37" ht="17" thickBot="1" x14ac:dyDescent="0.25">
      <c r="B12" s="104" t="s">
        <v>344</v>
      </c>
      <c r="C12" s="104"/>
      <c r="D12" s="104"/>
      <c r="E12" s="104"/>
      <c r="G12" s="104" t="s">
        <v>344</v>
      </c>
      <c r="H12" s="104"/>
      <c r="I12" s="104"/>
      <c r="J12" s="104"/>
      <c r="K12" s="8"/>
      <c r="L12" s="104" t="s">
        <v>344</v>
      </c>
      <c r="M12" s="104"/>
      <c r="N12" s="104"/>
      <c r="O12" s="104"/>
      <c r="R12" s="119">
        <v>60</v>
      </c>
      <c r="S12" s="121">
        <v>202.9596449006398</v>
      </c>
      <c r="T12" s="121">
        <v>209.58460999063965</v>
      </c>
      <c r="U12" s="121">
        <v>216.20957508063969</v>
      </c>
      <c r="V12" s="121">
        <v>222.83454017063954</v>
      </c>
      <c r="W12" s="121">
        <v>229.45950526063947</v>
      </c>
      <c r="X12" s="127">
        <v>236.08447035063944</v>
      </c>
      <c r="Y12" s="124">
        <v>242.70943544063931</v>
      </c>
      <c r="AB12" s="119">
        <v>5.8000000000000003E-2</v>
      </c>
      <c r="AC12" s="121">
        <v>181.97187939388525</v>
      </c>
      <c r="AD12" s="121">
        <v>185.28156701071734</v>
      </c>
      <c r="AE12" s="121">
        <v>188.8527877058749</v>
      </c>
      <c r="AF12" s="121">
        <v>192.67914550923072</v>
      </c>
      <c r="AG12" s="128">
        <v>196.75328223302523</v>
      </c>
      <c r="AH12" s="127">
        <v>201.06721685899868</v>
      </c>
      <c r="AI12" s="124">
        <v>205.61264738750268</v>
      </c>
      <c r="AJ12" s="125">
        <v>210.38120806937511</v>
      </c>
      <c r="AK12" s="126">
        <v>215.36467940558811</v>
      </c>
    </row>
    <row r="13" spans="2:37" x14ac:dyDescent="0.2">
      <c r="C13" s="2" t="s">
        <v>341</v>
      </c>
      <c r="D13" s="2" t="s">
        <v>191</v>
      </c>
      <c r="E13" s="2" t="s">
        <v>342</v>
      </c>
      <c r="H13" s="2" t="s">
        <v>341</v>
      </c>
      <c r="I13" s="2" t="s">
        <v>191</v>
      </c>
      <c r="J13" s="2" t="s">
        <v>342</v>
      </c>
      <c r="K13" s="8"/>
      <c r="M13" s="2" t="s">
        <v>341</v>
      </c>
      <c r="N13" s="2" t="s">
        <v>191</v>
      </c>
      <c r="O13" s="2" t="s">
        <v>342</v>
      </c>
      <c r="R13" s="119">
        <v>68</v>
      </c>
      <c r="S13" s="121">
        <v>213.10107560297618</v>
      </c>
      <c r="T13" s="121">
        <v>219.72604069297606</v>
      </c>
      <c r="U13" s="121">
        <v>226.35100578297593</v>
      </c>
      <c r="V13" s="121">
        <v>232.97597087297586</v>
      </c>
      <c r="W13" s="121">
        <v>239.60093596297583</v>
      </c>
      <c r="X13" s="127">
        <v>246.22590105297576</v>
      </c>
      <c r="Y13" s="124">
        <v>252.85086614297569</v>
      </c>
      <c r="AB13" s="119">
        <v>6.4000000000000001E-2</v>
      </c>
      <c r="AC13" s="121">
        <v>190.07109773117986</v>
      </c>
      <c r="AD13" s="121">
        <v>193.32566413031211</v>
      </c>
      <c r="AE13" s="121">
        <v>196.84433545569016</v>
      </c>
      <c r="AF13" s="121">
        <v>200.62078961065762</v>
      </c>
      <c r="AG13" s="121">
        <v>204.64769824915706</v>
      </c>
      <c r="AH13" s="127">
        <v>208.91707167619936</v>
      </c>
      <c r="AI13" s="124">
        <v>213.42056664387917</v>
      </c>
      <c r="AJ13" s="125">
        <v>218.14974958461221</v>
      </c>
      <c r="AK13" s="126">
        <v>223.09631237136907</v>
      </c>
    </row>
    <row r="14" spans="2:37" x14ac:dyDescent="0.2">
      <c r="B14" s="2" t="s">
        <v>280</v>
      </c>
      <c r="C14" s="8">
        <f>'Transport and Storage'!U18</f>
        <v>79.867999999999995</v>
      </c>
      <c r="D14" s="8">
        <f>'Transport and Storage'!U14</f>
        <v>105.57499999999999</v>
      </c>
      <c r="E14" s="8">
        <f>'Transport and Storage'!U20</f>
        <v>124.066</v>
      </c>
      <c r="G14" s="2" t="s">
        <v>280</v>
      </c>
      <c r="H14" s="8">
        <v>248.023</v>
      </c>
      <c r="I14" s="4">
        <f>'Scenario Design'!$K$16</f>
        <v>280.60899999999998</v>
      </c>
      <c r="J14" s="8">
        <v>304.05500000000001</v>
      </c>
      <c r="K14" s="8"/>
      <c r="L14" s="2" t="s">
        <v>280</v>
      </c>
      <c r="M14" s="111">
        <f>(H14-I14)/I14</f>
        <v>-0.11612599738426062</v>
      </c>
      <c r="N14" s="20">
        <v>171.43</v>
      </c>
      <c r="O14" s="112">
        <f>(J14-I14)/I14</f>
        <v>8.355398436971026E-2</v>
      </c>
      <c r="R14" s="119">
        <v>72</v>
      </c>
      <c r="S14" s="121">
        <v>218.17179095414426</v>
      </c>
      <c r="T14" s="121">
        <v>224.79675604414422</v>
      </c>
      <c r="U14" s="121">
        <v>231.42172113414406</v>
      </c>
      <c r="V14" s="121">
        <v>238.04668622414405</v>
      </c>
      <c r="W14" s="153">
        <v>244.67165131414399</v>
      </c>
      <c r="X14" s="127">
        <v>251.29661640414392</v>
      </c>
      <c r="Y14" s="124">
        <v>257.92158149414394</v>
      </c>
      <c r="AB14" s="119">
        <v>7.0000000000000007E-2</v>
      </c>
      <c r="AC14" s="121">
        <v>198.17031606847445</v>
      </c>
      <c r="AD14" s="121">
        <v>201.36976124990693</v>
      </c>
      <c r="AE14" s="121">
        <v>204.83588320550544</v>
      </c>
      <c r="AF14" s="121">
        <v>208.56243371208461</v>
      </c>
      <c r="AG14" s="121">
        <v>212.54211426528889</v>
      </c>
      <c r="AH14" s="127">
        <v>216.76692649339998</v>
      </c>
      <c r="AI14" s="124">
        <v>221.22848590025563</v>
      </c>
      <c r="AJ14" s="125">
        <v>225.91829109984931</v>
      </c>
      <c r="AK14" s="126">
        <v>230.82794533714994</v>
      </c>
    </row>
    <row r="15" spans="2:37" x14ac:dyDescent="0.2">
      <c r="B15" s="2" t="s">
        <v>346</v>
      </c>
      <c r="C15" s="7">
        <f>D15*0.8</f>
        <v>4.0000000000000008E-2</v>
      </c>
      <c r="D15" s="7">
        <f>'Input Parameters'!D15</f>
        <v>0.05</v>
      </c>
      <c r="E15" s="7">
        <f>D15*1.2</f>
        <v>0.06</v>
      </c>
      <c r="G15" s="2" t="s">
        <v>346</v>
      </c>
      <c r="H15" s="8">
        <v>267.35899999999998</v>
      </c>
      <c r="I15" s="4">
        <f>'Scenario Design'!$K$16</f>
        <v>280.60899999999998</v>
      </c>
      <c r="J15" s="8">
        <v>293.85899999999998</v>
      </c>
      <c r="K15" s="8"/>
      <c r="L15" s="2" t="s">
        <v>346</v>
      </c>
      <c r="M15" s="111">
        <f>(H15-I15)/I15</f>
        <v>-4.7218727838380097E-2</v>
      </c>
      <c r="N15" s="20">
        <v>171.43</v>
      </c>
      <c r="O15" s="112">
        <f>(J15-I15)/I15</f>
        <v>4.7218727838380097E-2</v>
      </c>
      <c r="R15" s="119">
        <v>78</v>
      </c>
      <c r="S15" s="121">
        <v>225.77786398089648</v>
      </c>
      <c r="T15" s="121">
        <v>232.40282907089644</v>
      </c>
      <c r="U15" s="121">
        <v>239.02779416089641</v>
      </c>
      <c r="V15" s="121">
        <v>245.65275925089625</v>
      </c>
      <c r="W15" s="121">
        <v>252.2777243408963</v>
      </c>
      <c r="X15" s="127">
        <v>258.9026894308962</v>
      </c>
      <c r="Y15" s="124">
        <v>265.52765452089619</v>
      </c>
      <c r="AB15" s="119">
        <v>7.5999999999999998E-2</v>
      </c>
      <c r="AC15" s="121">
        <v>206.26953440576904</v>
      </c>
      <c r="AD15" s="121">
        <v>209.41385836950161</v>
      </c>
      <c r="AE15" s="121">
        <v>212.82743095532072</v>
      </c>
      <c r="AF15" s="121">
        <v>216.50407781351146</v>
      </c>
      <c r="AG15" s="121">
        <v>220.43653028142072</v>
      </c>
      <c r="AH15" s="127">
        <v>224.61678131060057</v>
      </c>
      <c r="AI15" s="124">
        <v>229.03640515663196</v>
      </c>
      <c r="AJ15" s="125">
        <v>233.68683261508639</v>
      </c>
      <c r="AK15" s="126">
        <v>238.5595783029309</v>
      </c>
    </row>
    <row r="16" spans="2:37" x14ac:dyDescent="0.2">
      <c r="B16" s="2" t="s">
        <v>347</v>
      </c>
      <c r="C16" s="83">
        <f>D16*0.8</f>
        <v>0.15456000000000003</v>
      </c>
      <c r="D16" s="2">
        <v>0.19320000000000001</v>
      </c>
      <c r="E16" s="83">
        <f>D16*1.2</f>
        <v>0.23183999999999999</v>
      </c>
      <c r="G16" s="2" t="s">
        <v>347</v>
      </c>
      <c r="H16" s="8">
        <v>279.17</v>
      </c>
      <c r="I16" s="4">
        <f>'Scenario Design'!$K$16</f>
        <v>280.60899999999998</v>
      </c>
      <c r="J16" s="8">
        <v>282.048</v>
      </c>
      <c r="K16" s="8"/>
      <c r="L16" s="2" t="s">
        <v>347</v>
      </c>
      <c r="M16" s="111">
        <f>(H16-I16)/I16</f>
        <v>-5.128132027126588E-3</v>
      </c>
      <c r="N16" s="20">
        <v>171.43</v>
      </c>
      <c r="O16" s="112">
        <f>(J16-I16)/I16</f>
        <v>5.1281320271267901E-3</v>
      </c>
      <c r="R16" s="119">
        <v>85</v>
      </c>
      <c r="S16" s="121">
        <v>234.6516158454408</v>
      </c>
      <c r="T16" s="121">
        <v>241.27658093544073</v>
      </c>
      <c r="U16" s="121">
        <v>247.90154602544069</v>
      </c>
      <c r="V16" s="121">
        <v>254.52651111544063</v>
      </c>
      <c r="W16" s="127">
        <v>261.15147620544053</v>
      </c>
      <c r="X16" s="127">
        <v>267.77644129544046</v>
      </c>
      <c r="Y16" s="124">
        <v>274.40140638544034</v>
      </c>
    </row>
    <row r="17" spans="2:37" x14ac:dyDescent="0.2">
      <c r="B17" s="2" t="s">
        <v>63</v>
      </c>
      <c r="C17" s="5">
        <v>0.06</v>
      </c>
      <c r="D17" s="5">
        <v>0.08</v>
      </c>
      <c r="E17" s="5">
        <v>0.1</v>
      </c>
      <c r="G17" s="2" t="s">
        <v>63</v>
      </c>
      <c r="H17" s="113">
        <v>272.553</v>
      </c>
      <c r="I17" s="4">
        <f>'Scenario Design'!$K$16</f>
        <v>280.60899999999998</v>
      </c>
      <c r="J17" s="8">
        <v>289.61900000000003</v>
      </c>
      <c r="L17" s="2" t="s">
        <v>63</v>
      </c>
      <c r="M17" s="111">
        <f>(H17-I17)/I17</f>
        <v>-2.8708986525735041E-2</v>
      </c>
      <c r="N17" s="20">
        <v>171.43</v>
      </c>
      <c r="O17" s="112">
        <f>(J17-I17)/I17</f>
        <v>3.2108734930098637E-2</v>
      </c>
      <c r="R17" s="119">
        <v>95</v>
      </c>
      <c r="S17" s="121">
        <v>247.32840422336116</v>
      </c>
      <c r="T17" s="121">
        <v>253.95336931336109</v>
      </c>
      <c r="U17" s="121">
        <v>260.57833440336105</v>
      </c>
      <c r="V17" s="121">
        <v>267.20329949336099</v>
      </c>
      <c r="W17" s="127">
        <v>273.82826458336103</v>
      </c>
      <c r="X17" s="127">
        <v>280.45322967336091</v>
      </c>
      <c r="Y17" s="124">
        <v>287.07819476336073</v>
      </c>
    </row>
    <row r="18" spans="2:37" ht="18" x14ac:dyDescent="0.2">
      <c r="K18" s="8"/>
      <c r="R18" s="119">
        <v>105</v>
      </c>
      <c r="S18" s="121">
        <v>260.00519260128169</v>
      </c>
      <c r="T18" s="121">
        <v>266.63015769128162</v>
      </c>
      <c r="U18" s="121">
        <v>273.2551227812815</v>
      </c>
      <c r="V18" s="121">
        <v>279.88008787128132</v>
      </c>
      <c r="W18" s="127">
        <v>286.50505296128131</v>
      </c>
      <c r="X18" s="127">
        <v>293.1300180512813</v>
      </c>
      <c r="Y18" s="124">
        <v>299.75498314128123</v>
      </c>
      <c r="AB18" s="102" t="s">
        <v>389</v>
      </c>
      <c r="AC18" s="102"/>
      <c r="AD18" s="102"/>
      <c r="AE18" s="102"/>
      <c r="AF18" s="102"/>
      <c r="AG18" s="102"/>
      <c r="AH18" s="102"/>
      <c r="AI18" s="102"/>
      <c r="AJ18" s="102"/>
      <c r="AK18" s="102"/>
    </row>
    <row r="19" spans="2:37" ht="17" thickBot="1" x14ac:dyDescent="0.25">
      <c r="B19" s="104" t="s">
        <v>348</v>
      </c>
      <c r="C19" s="104"/>
      <c r="D19" s="104"/>
      <c r="E19" s="104"/>
      <c r="G19" s="104" t="s">
        <v>348</v>
      </c>
      <c r="H19" s="104"/>
      <c r="I19" s="104"/>
      <c r="J19" s="104"/>
      <c r="K19" s="8"/>
      <c r="L19" s="104" t="s">
        <v>348</v>
      </c>
      <c r="M19" s="104"/>
      <c r="N19" s="104"/>
      <c r="O19" s="104"/>
      <c r="R19" s="120">
        <v>116</v>
      </c>
      <c r="S19" s="129">
        <v>273.94965981699414</v>
      </c>
      <c r="T19" s="129">
        <v>280.57462490699413</v>
      </c>
      <c r="U19" s="129">
        <v>287.19958999699389</v>
      </c>
      <c r="V19" s="129">
        <v>293.82455508699383</v>
      </c>
      <c r="W19" s="130">
        <v>300.44952017699393</v>
      </c>
      <c r="X19" s="130">
        <v>307.0744852669938</v>
      </c>
      <c r="Y19" s="131">
        <v>313.69945035699374</v>
      </c>
      <c r="AB19" s="103">
        <v>197.47584620217566</v>
      </c>
      <c r="AC19" s="118">
        <v>0.04</v>
      </c>
      <c r="AD19" s="118">
        <v>0.05</v>
      </c>
      <c r="AE19" s="118">
        <v>0.06</v>
      </c>
      <c r="AF19" s="118">
        <v>7.0000000000000007E-2</v>
      </c>
      <c r="AG19" s="118">
        <v>0.08</v>
      </c>
      <c r="AH19" s="118">
        <v>0.09</v>
      </c>
      <c r="AI19" s="118">
        <v>0.1</v>
      </c>
      <c r="AJ19" s="118">
        <v>0.11</v>
      </c>
      <c r="AK19" s="118">
        <v>0.12</v>
      </c>
    </row>
    <row r="20" spans="2:37" x14ac:dyDescent="0.2">
      <c r="C20" s="2" t="s">
        <v>341</v>
      </c>
      <c r="D20" s="2" t="s">
        <v>191</v>
      </c>
      <c r="E20" s="2" t="s">
        <v>342</v>
      </c>
      <c r="H20" s="2" t="s">
        <v>341</v>
      </c>
      <c r="I20" s="2" t="s">
        <v>191</v>
      </c>
      <c r="J20" s="2" t="s">
        <v>342</v>
      </c>
      <c r="K20" s="8"/>
      <c r="M20" s="2" t="s">
        <v>341</v>
      </c>
      <c r="N20" s="2" t="s">
        <v>191</v>
      </c>
      <c r="O20" s="2" t="s">
        <v>342</v>
      </c>
      <c r="R20" s="120">
        <v>124</v>
      </c>
      <c r="S20" s="129">
        <v>284.09109051933046</v>
      </c>
      <c r="T20" s="129">
        <v>290.71605560933045</v>
      </c>
      <c r="U20" s="129">
        <v>297.34102069933033</v>
      </c>
      <c r="V20" s="129">
        <v>303.96598578933015</v>
      </c>
      <c r="W20" s="130">
        <v>310.59095087933014</v>
      </c>
      <c r="X20" s="130">
        <v>317.21591596933001</v>
      </c>
      <c r="Y20" s="131">
        <v>323.84088105932989</v>
      </c>
      <c r="AB20" s="119">
        <v>0.04</v>
      </c>
      <c r="AC20" s="121">
        <v>158.39678835115203</v>
      </c>
      <c r="AD20" s="121">
        <v>161.87183962108361</v>
      </c>
      <c r="AE20" s="121">
        <v>165.60070842557971</v>
      </c>
      <c r="AF20" s="121">
        <v>169.57677717410058</v>
      </c>
      <c r="AG20" s="121">
        <v>173.79259815378018</v>
      </c>
      <c r="AH20" s="121">
        <v>178.24021637654729</v>
      </c>
      <c r="AI20" s="122">
        <v>182.91145358752399</v>
      </c>
      <c r="AJ20" s="123">
        <v>187.79814749281439</v>
      </c>
      <c r="AK20" s="121">
        <v>192.89234447739591</v>
      </c>
    </row>
    <row r="21" spans="2:37" x14ac:dyDescent="0.2">
      <c r="B21" s="2" t="s">
        <v>346</v>
      </c>
      <c r="C21" s="2">
        <f>D21*0.8</f>
        <v>4.6400000000000004E-2</v>
      </c>
      <c r="D21" s="2">
        <v>5.8000000000000003E-2</v>
      </c>
      <c r="E21" s="2">
        <f>D21*1.2</f>
        <v>6.9599999999999995E-2</v>
      </c>
      <c r="G21" s="2" t="s">
        <v>346</v>
      </c>
      <c r="H21" s="8">
        <v>181.49100000000001</v>
      </c>
      <c r="I21" s="8">
        <f>'Scenario Design'!$C$27</f>
        <v>196.75299999999999</v>
      </c>
      <c r="J21" s="8">
        <v>212.01599999999999</v>
      </c>
      <c r="K21" s="8"/>
      <c r="L21" s="2" t="s">
        <v>346</v>
      </c>
      <c r="M21" s="111">
        <f>(H21-I21)/I21</f>
        <v>-7.7569338205770555E-2</v>
      </c>
      <c r="N21" s="8">
        <v>68.453000000000003</v>
      </c>
      <c r="O21" s="111">
        <f>(J21-I21)/I21</f>
        <v>7.7574420720395651E-2</v>
      </c>
      <c r="AB21" s="119">
        <v>4.5999999999999999E-2</v>
      </c>
      <c r="AC21" s="121">
        <v>166.49600668844664</v>
      </c>
      <c r="AD21" s="121">
        <v>169.91593674067835</v>
      </c>
      <c r="AE21" s="121">
        <v>173.59225617539497</v>
      </c>
      <c r="AF21" s="121">
        <v>177.51842127552749</v>
      </c>
      <c r="AG21" s="121">
        <v>181.68701416991203</v>
      </c>
      <c r="AH21" s="121">
        <v>186.09007119374795</v>
      </c>
      <c r="AI21" s="124">
        <v>190.71937284390035</v>
      </c>
      <c r="AJ21" s="125">
        <v>195.56668900805147</v>
      </c>
      <c r="AK21" s="126">
        <v>200.62397744317678</v>
      </c>
    </row>
    <row r="22" spans="2:37" x14ac:dyDescent="0.2">
      <c r="B22" s="2" t="s">
        <v>347</v>
      </c>
      <c r="C22" s="2">
        <f>D22*0.8</f>
        <v>0.1008</v>
      </c>
      <c r="D22" s="2">
        <v>0.126</v>
      </c>
      <c r="E22" s="2">
        <f>D22*1.2</f>
        <v>0.1512</v>
      </c>
      <c r="G22" s="2" t="s">
        <v>347</v>
      </c>
      <c r="H22" s="8">
        <v>195.82</v>
      </c>
      <c r="I22" s="8">
        <f>'Scenario Design'!$C$27</f>
        <v>196.75299999999999</v>
      </c>
      <c r="J22" s="8">
        <v>197.68600000000001</v>
      </c>
      <c r="K22" s="8"/>
      <c r="L22" s="2" t="s">
        <v>347</v>
      </c>
      <c r="M22" s="111">
        <f>(H22-I22)/I22</f>
        <v>-4.7419861450650955E-3</v>
      </c>
      <c r="N22" s="8">
        <v>68.453000000000003</v>
      </c>
      <c r="O22" s="111">
        <f>(J22-I22)/I22</f>
        <v>4.7419861450652403E-3</v>
      </c>
      <c r="AB22" s="119">
        <v>5.1999999999999998E-2</v>
      </c>
      <c r="AC22" s="121">
        <v>174.59522502574114</v>
      </c>
      <c r="AD22" s="121">
        <v>177.96003386027314</v>
      </c>
      <c r="AE22" s="121">
        <v>181.58380392521013</v>
      </c>
      <c r="AF22" s="121">
        <v>185.46006537695436</v>
      </c>
      <c r="AG22" s="121">
        <v>189.58143018604383</v>
      </c>
      <c r="AH22" s="121">
        <v>193.9399260109486</v>
      </c>
      <c r="AI22" s="124">
        <v>198.52729210027678</v>
      </c>
      <c r="AJ22" s="125">
        <v>203.33523052328854</v>
      </c>
      <c r="AK22" s="126">
        <v>208.35561040895777</v>
      </c>
    </row>
    <row r="23" spans="2:37" ht="18" x14ac:dyDescent="0.2">
      <c r="B23" s="2" t="s">
        <v>63</v>
      </c>
      <c r="C23" s="5">
        <v>0.06</v>
      </c>
      <c r="D23" s="5">
        <v>0.08</v>
      </c>
      <c r="E23" s="5">
        <v>0.1</v>
      </c>
      <c r="G23" s="2" t="s">
        <v>63</v>
      </c>
      <c r="H23" s="8">
        <v>188.85300000000001</v>
      </c>
      <c r="I23" s="8">
        <f>'Scenario Design'!$C$27</f>
        <v>196.75299999999999</v>
      </c>
      <c r="J23" s="8">
        <v>205.613</v>
      </c>
      <c r="K23" s="8"/>
      <c r="L23" s="2" t="s">
        <v>63</v>
      </c>
      <c r="M23" s="111">
        <f>(H23-I23)/I23</f>
        <v>-4.0151865536992973E-2</v>
      </c>
      <c r="N23" s="8">
        <v>68.453000000000003</v>
      </c>
      <c r="O23" s="111">
        <f>(J23-I23)/I23</f>
        <v>4.5031079576931553E-2</v>
      </c>
      <c r="R23" s="102" t="s">
        <v>699</v>
      </c>
      <c r="S23" s="102"/>
      <c r="T23" s="102"/>
      <c r="U23" s="102"/>
      <c r="V23" s="102"/>
      <c r="W23" s="102"/>
      <c r="X23" s="102"/>
      <c r="Y23" s="102"/>
      <c r="AB23" s="119">
        <v>5.8000000000000003E-2</v>
      </c>
      <c r="AC23" s="121">
        <v>182.69444336303579</v>
      </c>
      <c r="AD23" s="121">
        <v>186.00413097986782</v>
      </c>
      <c r="AE23" s="121">
        <v>189.57535167502542</v>
      </c>
      <c r="AF23" s="121">
        <v>193.40170947838126</v>
      </c>
      <c r="AG23" s="128">
        <v>197.47584620217566</v>
      </c>
      <c r="AH23" s="127">
        <v>201.78978082814913</v>
      </c>
      <c r="AI23" s="124">
        <v>206.33521135665319</v>
      </c>
      <c r="AJ23" s="125">
        <v>211.10377203852559</v>
      </c>
      <c r="AK23" s="126">
        <v>216.08724337473868</v>
      </c>
    </row>
    <row r="24" spans="2:37" x14ac:dyDescent="0.2">
      <c r="K24" s="8"/>
      <c r="R24" s="103">
        <v>280.61534159720088</v>
      </c>
      <c r="S24" s="152">
        <v>3.5000000000000003E-2</v>
      </c>
      <c r="T24" s="152">
        <v>0.04</v>
      </c>
      <c r="U24" s="152">
        <v>4.4999999999999998E-2</v>
      </c>
      <c r="V24" s="152">
        <v>0.05</v>
      </c>
      <c r="W24" s="152">
        <v>5.5E-2</v>
      </c>
      <c r="X24" s="152">
        <v>0.06</v>
      </c>
      <c r="Y24" s="152">
        <v>6.5000000000000002E-2</v>
      </c>
      <c r="AB24" s="119">
        <v>6.4000000000000001E-2</v>
      </c>
      <c r="AC24" s="121">
        <v>190.79366170033038</v>
      </c>
      <c r="AD24" s="121">
        <v>194.04822809946259</v>
      </c>
      <c r="AE24" s="121">
        <v>197.56689942484064</v>
      </c>
      <c r="AF24" s="121">
        <v>201.34335357980817</v>
      </c>
      <c r="AG24" s="121">
        <v>205.37026221830752</v>
      </c>
      <c r="AH24" s="127">
        <v>209.63963564534976</v>
      </c>
      <c r="AI24" s="124">
        <v>214.14313061302954</v>
      </c>
      <c r="AJ24" s="125">
        <v>218.87231355376269</v>
      </c>
      <c r="AK24" s="126">
        <v>223.81887634051958</v>
      </c>
    </row>
    <row r="25" spans="2:37" ht="17" thickBot="1" x14ac:dyDescent="0.25">
      <c r="B25" s="104" t="s">
        <v>345</v>
      </c>
      <c r="C25" s="104"/>
      <c r="D25" s="104"/>
      <c r="E25" s="104"/>
      <c r="G25" s="104" t="s">
        <v>345</v>
      </c>
      <c r="H25" s="104"/>
      <c r="I25" s="104"/>
      <c r="J25" s="104"/>
      <c r="K25" s="8"/>
      <c r="L25" s="104" t="s">
        <v>345</v>
      </c>
      <c r="M25" s="104"/>
      <c r="N25" s="104"/>
      <c r="O25" s="104"/>
      <c r="R25" s="119">
        <v>38</v>
      </c>
      <c r="S25" s="121">
        <v>175.07071046921484</v>
      </c>
      <c r="T25" s="121">
        <v>181.69567555921478</v>
      </c>
      <c r="U25" s="121">
        <v>188.32064064921468</v>
      </c>
      <c r="V25" s="121">
        <v>194.94560573921461</v>
      </c>
      <c r="W25" s="121">
        <v>201.57057082921457</v>
      </c>
      <c r="X25" s="121">
        <v>208.19553591921456</v>
      </c>
      <c r="Y25" s="122">
        <v>214.82050100921444</v>
      </c>
      <c r="AB25" s="119">
        <v>7.0000000000000007E-2</v>
      </c>
      <c r="AC25" s="121">
        <v>198.89288003762488</v>
      </c>
      <c r="AD25" s="121">
        <v>202.09232521905736</v>
      </c>
      <c r="AE25" s="121">
        <v>205.55844717465592</v>
      </c>
      <c r="AF25" s="121">
        <v>209.28499768123507</v>
      </c>
      <c r="AG25" s="121">
        <v>213.26467823443937</v>
      </c>
      <c r="AH25" s="127">
        <v>217.48949046255038</v>
      </c>
      <c r="AI25" s="124">
        <v>221.95104986940603</v>
      </c>
      <c r="AJ25" s="125">
        <v>226.64085506899977</v>
      </c>
      <c r="AK25" s="126">
        <v>231.55050930630046</v>
      </c>
    </row>
    <row r="26" spans="2:37" x14ac:dyDescent="0.2">
      <c r="C26" s="2" t="s">
        <v>341</v>
      </c>
      <c r="D26" s="2" t="s">
        <v>191</v>
      </c>
      <c r="E26" s="2" t="s">
        <v>342</v>
      </c>
      <c r="H26" s="2" t="s">
        <v>341</v>
      </c>
      <c r="I26" s="2" t="s">
        <v>191</v>
      </c>
      <c r="J26" s="2" t="s">
        <v>342</v>
      </c>
      <c r="K26" s="8"/>
      <c r="M26" s="2" t="s">
        <v>341</v>
      </c>
      <c r="N26" s="2" t="s">
        <v>191</v>
      </c>
      <c r="O26" s="2" t="s">
        <v>342</v>
      </c>
      <c r="R26" s="119">
        <v>45</v>
      </c>
      <c r="S26" s="121">
        <v>183.94446233375916</v>
      </c>
      <c r="T26" s="121">
        <v>190.56942742375907</v>
      </c>
      <c r="U26" s="121">
        <v>197.19439251375903</v>
      </c>
      <c r="V26" s="121">
        <v>203.81935760375899</v>
      </c>
      <c r="W26" s="121">
        <v>210.44432269375881</v>
      </c>
      <c r="X26" s="121">
        <v>217.06928778375882</v>
      </c>
      <c r="Y26" s="124">
        <v>223.69425287375876</v>
      </c>
      <c r="AB26" s="119">
        <v>7.5999999999999998E-2</v>
      </c>
      <c r="AC26" s="121">
        <v>206.99209837491946</v>
      </c>
      <c r="AD26" s="121">
        <v>210.13642233865204</v>
      </c>
      <c r="AE26" s="121">
        <v>213.54999492447112</v>
      </c>
      <c r="AF26" s="121">
        <v>217.22664178266191</v>
      </c>
      <c r="AG26" s="121">
        <v>221.1590942505712</v>
      </c>
      <c r="AH26" s="127">
        <v>225.339345279751</v>
      </c>
      <c r="AI26" s="124">
        <v>229.75896912578247</v>
      </c>
      <c r="AJ26" s="125">
        <v>234.40939658423684</v>
      </c>
      <c r="AK26" s="126">
        <v>239.28214227208139</v>
      </c>
    </row>
    <row r="27" spans="2:37" x14ac:dyDescent="0.2">
      <c r="B27" s="2" t="s">
        <v>346</v>
      </c>
      <c r="C27" s="83">
        <f>C21</f>
        <v>4.6400000000000004E-2</v>
      </c>
      <c r="D27" s="7">
        <f>D21</f>
        <v>5.8000000000000003E-2</v>
      </c>
      <c r="E27" s="83">
        <f>E21</f>
        <v>6.9599999999999995E-2</v>
      </c>
      <c r="G27" s="2" t="s">
        <v>346</v>
      </c>
      <c r="H27" s="8">
        <v>182.21299999999999</v>
      </c>
      <c r="I27" s="8">
        <f>'Scenario Design'!$K$27</f>
        <v>197.476</v>
      </c>
      <c r="J27" s="8">
        <v>212.738</v>
      </c>
      <c r="K27" s="8"/>
      <c r="L27" s="2" t="s">
        <v>346</v>
      </c>
      <c r="M27" s="111">
        <f>(H27-I27)/I27</f>
        <v>-7.7290404909963764E-2</v>
      </c>
      <c r="N27" s="8">
        <f>I27</f>
        <v>197.476</v>
      </c>
      <c r="O27" s="111">
        <f>(J27-I27)/I27</f>
        <v>7.7285341003463709E-2</v>
      </c>
      <c r="R27" s="119">
        <v>52</v>
      </c>
      <c r="S27" s="121">
        <v>192.81821419830342</v>
      </c>
      <c r="T27" s="121">
        <v>199.44317928830336</v>
      </c>
      <c r="U27" s="121">
        <v>206.06814437830332</v>
      </c>
      <c r="V27" s="121">
        <v>212.69310946830322</v>
      </c>
      <c r="W27" s="121">
        <v>219.31807455830315</v>
      </c>
      <c r="X27" s="121">
        <v>225.94303964830311</v>
      </c>
      <c r="Y27" s="124">
        <v>232.5680047383031</v>
      </c>
      <c r="AA27" s="5"/>
    </row>
    <row r="28" spans="2:37" x14ac:dyDescent="0.2">
      <c r="B28" s="2" t="s">
        <v>347</v>
      </c>
      <c r="C28" s="83">
        <f>C22</f>
        <v>0.1008</v>
      </c>
      <c r="D28" s="83">
        <v>0.126</v>
      </c>
      <c r="E28" s="83">
        <f>E22</f>
        <v>0.1512</v>
      </c>
      <c r="G28" s="2" t="s">
        <v>347</v>
      </c>
      <c r="H28" s="8">
        <v>196.54300000000001</v>
      </c>
      <c r="I28" s="8">
        <f>'Scenario Design'!$K$27</f>
        <v>197.476</v>
      </c>
      <c r="J28" s="8">
        <v>198.40899999999999</v>
      </c>
      <c r="K28" s="8"/>
      <c r="L28" s="2" t="s">
        <v>347</v>
      </c>
      <c r="M28" s="111">
        <f>(H28-I28)/I28</f>
        <v>-4.7246247645283106E-3</v>
      </c>
      <c r="N28" s="8">
        <f>I28</f>
        <v>197.476</v>
      </c>
      <c r="O28" s="111">
        <f>(J28-I28)/I28</f>
        <v>4.7246247645283106E-3</v>
      </c>
      <c r="R28" s="119">
        <v>60</v>
      </c>
      <c r="S28" s="121">
        <v>202.9596449006398</v>
      </c>
      <c r="T28" s="121">
        <v>209.58460999063965</v>
      </c>
      <c r="U28" s="121">
        <v>216.20957508063969</v>
      </c>
      <c r="V28" s="121">
        <v>222.83454017063954</v>
      </c>
      <c r="W28" s="121">
        <v>229.45950526063947</v>
      </c>
      <c r="X28" s="127">
        <v>236.08447035063944</v>
      </c>
      <c r="Y28" s="124">
        <v>242.70943544063931</v>
      </c>
    </row>
    <row r="29" spans="2:37" x14ac:dyDescent="0.2">
      <c r="B29" s="2" t="s">
        <v>63</v>
      </c>
      <c r="C29" s="5">
        <v>0.06</v>
      </c>
      <c r="D29" s="5">
        <v>0.08</v>
      </c>
      <c r="E29" s="5">
        <v>0.1</v>
      </c>
      <c r="G29" s="2" t="s">
        <v>63</v>
      </c>
      <c r="H29" s="8">
        <v>189.57499999999999</v>
      </c>
      <c r="I29" s="8">
        <f>'Scenario Design'!$K$27</f>
        <v>197.476</v>
      </c>
      <c r="J29" s="113">
        <v>206.33500000000001</v>
      </c>
      <c r="K29" s="8"/>
      <c r="L29" s="2" t="s">
        <v>63</v>
      </c>
      <c r="M29" s="111">
        <f>(H29-I29)/I29</f>
        <v>-4.000992525674011E-2</v>
      </c>
      <c r="N29" s="8">
        <f>I29</f>
        <v>197.476</v>
      </c>
      <c r="O29" s="111">
        <f>(J29-I29)/I29</f>
        <v>4.4861147683769212E-2</v>
      </c>
      <c r="R29" s="119">
        <v>68</v>
      </c>
      <c r="S29" s="121">
        <v>213.10107560297618</v>
      </c>
      <c r="T29" s="121">
        <v>219.72604069297606</v>
      </c>
      <c r="U29" s="121">
        <v>226.35100578297593</v>
      </c>
      <c r="V29" s="121">
        <v>232.97597087297586</v>
      </c>
      <c r="W29" s="121">
        <v>239.60093596297583</v>
      </c>
      <c r="X29" s="127">
        <v>246.22590105297576</v>
      </c>
      <c r="Y29" s="124">
        <v>252.85086614297569</v>
      </c>
    </row>
    <row r="30" spans="2:37" x14ac:dyDescent="0.2">
      <c r="R30" s="119">
        <v>72</v>
      </c>
      <c r="S30" s="121">
        <v>218.17179095414426</v>
      </c>
      <c r="T30" s="121">
        <v>224.79675604414422</v>
      </c>
      <c r="U30" s="121">
        <v>231.42172113414406</v>
      </c>
      <c r="V30" s="121">
        <v>238.04668622414405</v>
      </c>
      <c r="W30" s="153">
        <v>244.67165131414399</v>
      </c>
      <c r="X30" s="127">
        <v>251.29661640414392</v>
      </c>
      <c r="Y30" s="124">
        <v>257.92158149414394</v>
      </c>
    </row>
    <row r="31" spans="2:37" x14ac:dyDescent="0.2">
      <c r="R31" s="119">
        <v>78</v>
      </c>
      <c r="S31" s="121">
        <v>225.77786398089648</v>
      </c>
      <c r="T31" s="121">
        <v>232.40282907089644</v>
      </c>
      <c r="U31" s="121">
        <v>239.02779416089641</v>
      </c>
      <c r="V31" s="121">
        <v>245.65275925089625</v>
      </c>
      <c r="W31" s="121">
        <v>252.2777243408963</v>
      </c>
      <c r="X31" s="127">
        <v>258.9026894308962</v>
      </c>
      <c r="Y31" s="124">
        <v>265.52765452089619</v>
      </c>
      <c r="AB31" s="5"/>
    </row>
    <row r="32" spans="2:37" ht="20" x14ac:dyDescent="0.2">
      <c r="B32" s="38" t="s">
        <v>281</v>
      </c>
      <c r="C32" s="38"/>
      <c r="D32" s="38"/>
      <c r="E32" s="38"/>
      <c r="F32" s="38"/>
      <c r="G32" s="38"/>
      <c r="I32" s="38" t="s">
        <v>375</v>
      </c>
      <c r="J32" s="38"/>
      <c r="K32" s="38"/>
      <c r="L32" s="38"/>
      <c r="M32" s="38"/>
      <c r="N32" s="38"/>
      <c r="R32" s="119">
        <v>85</v>
      </c>
      <c r="S32" s="121">
        <v>234.6516158454408</v>
      </c>
      <c r="T32" s="121">
        <v>241.27658093544073</v>
      </c>
      <c r="U32" s="121">
        <v>247.90154602544069</v>
      </c>
      <c r="V32" s="121">
        <v>254.52651111544063</v>
      </c>
      <c r="W32" s="127">
        <v>261.15147620544053</v>
      </c>
      <c r="X32" s="127">
        <v>267.77644129544046</v>
      </c>
      <c r="Y32" s="124">
        <v>274.40140638544034</v>
      </c>
    </row>
    <row r="33" spans="2:41" x14ac:dyDescent="0.2">
      <c r="R33" s="119">
        <v>95</v>
      </c>
      <c r="S33" s="121">
        <v>247.32840422336116</v>
      </c>
      <c r="T33" s="121">
        <v>253.95336931336109</v>
      </c>
      <c r="U33" s="121">
        <v>260.57833440336105</v>
      </c>
      <c r="V33" s="121">
        <v>267.20329949336099</v>
      </c>
      <c r="W33" s="127">
        <v>273.82826458336103</v>
      </c>
      <c r="X33" s="127">
        <v>280.45322967336091</v>
      </c>
      <c r="Y33" s="124">
        <v>287.07819476336073</v>
      </c>
    </row>
    <row r="34" spans="2:41" ht="52" thickBot="1" x14ac:dyDescent="0.25">
      <c r="B34" s="105"/>
      <c r="C34" s="63" t="s">
        <v>373</v>
      </c>
      <c r="D34" s="63" t="s">
        <v>374</v>
      </c>
      <c r="E34" s="63" t="s">
        <v>370</v>
      </c>
      <c r="F34" s="63" t="s">
        <v>371</v>
      </c>
      <c r="G34" s="63" t="s">
        <v>372</v>
      </c>
      <c r="H34" s="9"/>
      <c r="I34" s="105"/>
      <c r="J34" s="63" t="s">
        <v>373</v>
      </c>
      <c r="K34" s="63" t="s">
        <v>374</v>
      </c>
      <c r="L34" s="63" t="s">
        <v>370</v>
      </c>
      <c r="M34" s="63" t="s">
        <v>371</v>
      </c>
      <c r="N34" s="63" t="s">
        <v>372</v>
      </c>
      <c r="O34" s="9"/>
      <c r="P34" s="9"/>
      <c r="Q34" s="9"/>
      <c r="R34" s="119">
        <v>105</v>
      </c>
      <c r="S34" s="121">
        <v>260.00519260128169</v>
      </c>
      <c r="T34" s="121">
        <v>266.63015769128162</v>
      </c>
      <c r="U34" s="121">
        <v>273.2551227812815</v>
      </c>
      <c r="V34" s="121">
        <v>279.88008787128132</v>
      </c>
      <c r="W34" s="127">
        <v>286.50505296128131</v>
      </c>
      <c r="X34" s="127">
        <v>293.1300180512813</v>
      </c>
      <c r="Y34" s="124">
        <v>299.75498314128123</v>
      </c>
    </row>
    <row r="35" spans="2:41" x14ac:dyDescent="0.2">
      <c r="B35" s="35" t="s">
        <v>191</v>
      </c>
      <c r="C35" s="4">
        <f>'Scenario Design'!$C26</f>
        <v>148.91300000000001</v>
      </c>
      <c r="D35" s="4">
        <f>'Scenario Design'!$C26</f>
        <v>148.91300000000001</v>
      </c>
      <c r="E35" s="4">
        <v>76.585589999999996</v>
      </c>
      <c r="F35" s="4">
        <f>'Scenario Design'!D26</f>
        <v>55.666930000000001</v>
      </c>
      <c r="G35" s="4">
        <f>F35-E35</f>
        <v>-20.918659999999996</v>
      </c>
      <c r="I35" s="35" t="s">
        <v>191</v>
      </c>
      <c r="J35" s="4">
        <f>'Scenario Design'!$K26</f>
        <v>148.91300000000001</v>
      </c>
      <c r="K35" s="4">
        <f>'Scenario Design'!$K26</f>
        <v>148.91300000000001</v>
      </c>
      <c r="L35" s="4">
        <v>76.585589999999996</v>
      </c>
      <c r="M35" s="4">
        <f>'Scenario Design'!L26</f>
        <v>55.666930000000001</v>
      </c>
      <c r="N35" s="4">
        <f>M35-L35</f>
        <v>-20.918659999999996</v>
      </c>
      <c r="R35" s="120">
        <v>116</v>
      </c>
      <c r="S35" s="129">
        <v>273.94965981699414</v>
      </c>
      <c r="T35" s="129">
        <v>280.57462490699413</v>
      </c>
      <c r="U35" s="129">
        <v>287.19958999699389</v>
      </c>
      <c r="V35" s="129">
        <v>293.82455508699383</v>
      </c>
      <c r="W35" s="130">
        <v>300.44952017699393</v>
      </c>
      <c r="X35" s="130">
        <v>307.0744852669938</v>
      </c>
      <c r="Y35" s="131">
        <v>313.69945035699374</v>
      </c>
    </row>
    <row r="36" spans="2:41" x14ac:dyDescent="0.2">
      <c r="B36" s="35" t="s">
        <v>192</v>
      </c>
      <c r="C36" s="4">
        <f>'Scenario Design'!$C27</f>
        <v>196.75299999999999</v>
      </c>
      <c r="D36" s="4">
        <f>'Scenario Design'!$C27</f>
        <v>196.75299999999999</v>
      </c>
      <c r="E36" s="4">
        <v>122.05894000000001</v>
      </c>
      <c r="F36" s="4">
        <f>'Scenario Design'!D27</f>
        <v>100.45563</v>
      </c>
      <c r="G36" s="4">
        <f t="shared" ref="G36:G41" si="0">F36-E36</f>
        <v>-21.603310000000008</v>
      </c>
      <c r="I36" s="35" t="s">
        <v>192</v>
      </c>
      <c r="J36" s="4">
        <f>'Scenario Design'!$K27</f>
        <v>197.476</v>
      </c>
      <c r="K36" s="4">
        <f>'Scenario Design'!$K27</f>
        <v>197.476</v>
      </c>
      <c r="L36" s="4">
        <v>122.78149999999999</v>
      </c>
      <c r="M36" s="4">
        <f>'Scenario Design'!L27</f>
        <v>101.17819</v>
      </c>
      <c r="N36" s="4">
        <f t="shared" ref="N36:N41" si="1">M36-L36</f>
        <v>-21.603309999999993</v>
      </c>
      <c r="R36" s="120">
        <v>124</v>
      </c>
      <c r="S36" s="129">
        <v>284.09109051933046</v>
      </c>
      <c r="T36" s="129">
        <v>290.71605560933045</v>
      </c>
      <c r="U36" s="129">
        <v>297.34102069933033</v>
      </c>
      <c r="V36" s="129">
        <v>303.96598578933015</v>
      </c>
      <c r="W36" s="130">
        <v>310.59095087933014</v>
      </c>
      <c r="X36" s="130">
        <v>317.21591596933001</v>
      </c>
      <c r="Y36" s="131">
        <v>323.84088105932989</v>
      </c>
    </row>
    <row r="37" spans="2:41" x14ac:dyDescent="0.2">
      <c r="B37" s="59" t="s">
        <v>285</v>
      </c>
      <c r="C37" s="134">
        <f>'Scenario Design'!$C28</f>
        <v>196.75299999999999</v>
      </c>
      <c r="D37" s="60">
        <f>'Scenario Design'!$C28</f>
        <v>196.75299999999999</v>
      </c>
      <c r="E37" s="60">
        <v>67.647649999999999</v>
      </c>
      <c r="F37" s="60">
        <f>'Scenario Design'!D28</f>
        <v>46.044330000000002</v>
      </c>
      <c r="G37" s="60">
        <f t="shared" si="0"/>
        <v>-21.603319999999997</v>
      </c>
      <c r="I37" s="59" t="s">
        <v>285</v>
      </c>
      <c r="J37" s="134">
        <f>'Scenario Design'!$K28</f>
        <v>197.476</v>
      </c>
      <c r="K37" s="60">
        <f>'Scenario Design'!$K28</f>
        <v>197.476</v>
      </c>
      <c r="L37" s="60">
        <v>68.141220000000004</v>
      </c>
      <c r="M37" s="60">
        <f>'Scenario Design'!L28</f>
        <v>46.537909999999997</v>
      </c>
      <c r="N37" s="60">
        <f t="shared" si="1"/>
        <v>-21.603310000000008</v>
      </c>
    </row>
    <row r="38" spans="2:41" x14ac:dyDescent="0.2">
      <c r="B38" s="35" t="s">
        <v>195</v>
      </c>
      <c r="C38" s="135">
        <f>'Scenario Design'!$C29</f>
        <v>196.75299999999999</v>
      </c>
      <c r="D38" s="56">
        <f>'Scenario Design'!$C29</f>
        <v>196.75299999999999</v>
      </c>
      <c r="E38" s="56">
        <v>64.001540000000006</v>
      </c>
      <c r="F38" s="56">
        <f>'Scenario Design'!D29</f>
        <v>42.398229999999998</v>
      </c>
      <c r="G38" s="56">
        <f t="shared" si="0"/>
        <v>-21.603310000000008</v>
      </c>
      <c r="I38" s="35" t="s">
        <v>195</v>
      </c>
      <c r="J38" s="135">
        <f>'Scenario Design'!$K29</f>
        <v>197.476</v>
      </c>
      <c r="K38" s="56">
        <f>'Scenario Design'!$K29</f>
        <v>197.476</v>
      </c>
      <c r="L38" s="56">
        <v>64.724109999999996</v>
      </c>
      <c r="M38" s="56">
        <f>'Scenario Design'!L29</f>
        <v>43.12079</v>
      </c>
      <c r="N38" s="56">
        <f t="shared" si="1"/>
        <v>-21.603319999999997</v>
      </c>
    </row>
    <row r="39" spans="2:41" x14ac:dyDescent="0.2">
      <c r="B39" s="35" t="s">
        <v>380</v>
      </c>
      <c r="C39" s="135">
        <f>'Scenario Design'!$C30</f>
        <v>196.75299999999999</v>
      </c>
      <c r="D39" s="56">
        <f>'Scenario Design'!$C30</f>
        <v>196.75299999999999</v>
      </c>
      <c r="E39" s="56">
        <v>90.65625</v>
      </c>
      <c r="F39" s="56">
        <f>'Scenario Design'!D30</f>
        <v>69.052940000000007</v>
      </c>
      <c r="G39" s="56">
        <f t="shared" si="0"/>
        <v>-21.603309999999993</v>
      </c>
      <c r="I39" s="35" t="s">
        <v>380</v>
      </c>
      <c r="J39" s="135">
        <f>'Scenario Design'!$K30</f>
        <v>197.476</v>
      </c>
      <c r="K39" s="56">
        <f>'Scenario Design'!$K30</f>
        <v>197.476</v>
      </c>
      <c r="L39" s="56">
        <v>91.378810000000001</v>
      </c>
      <c r="M39" s="56">
        <f>'Scenario Design'!L30</f>
        <v>69.775499999999994</v>
      </c>
      <c r="N39" s="56">
        <f t="shared" si="1"/>
        <v>-21.603310000000008</v>
      </c>
    </row>
    <row r="40" spans="2:41" x14ac:dyDescent="0.2">
      <c r="B40" s="35" t="s">
        <v>381</v>
      </c>
      <c r="C40" s="135">
        <f>'Scenario Design'!$C31</f>
        <v>196.75299999999999</v>
      </c>
      <c r="D40" s="56">
        <f>'Scenario Design'!$C31</f>
        <v>196.75299999999999</v>
      </c>
      <c r="E40" s="56">
        <v>9.5902499999999993</v>
      </c>
      <c r="F40" s="56">
        <f>'Scenario Design'!D31</f>
        <v>-12.013059999999999</v>
      </c>
      <c r="G40" s="56">
        <f t="shared" si="0"/>
        <v>-21.60331</v>
      </c>
      <c r="I40" s="35" t="s">
        <v>381</v>
      </c>
      <c r="J40" s="135">
        <f>'Scenario Design'!$K31</f>
        <v>197.476</v>
      </c>
      <c r="K40" s="56">
        <f>'Scenario Design'!$K31</f>
        <v>197.476</v>
      </c>
      <c r="L40" s="56">
        <v>10.083819999999999</v>
      </c>
      <c r="M40" s="56">
        <f>'Scenario Design'!L31</f>
        <v>-11.519489999999999</v>
      </c>
      <c r="N40" s="56">
        <f t="shared" si="1"/>
        <v>-21.60331</v>
      </c>
    </row>
    <row r="41" spans="2:41" ht="17" thickBot="1" x14ac:dyDescent="0.25">
      <c r="B41" s="36" t="s">
        <v>382</v>
      </c>
      <c r="C41" s="136">
        <f>'Scenario Design'!$C32</f>
        <v>196.75299999999999</v>
      </c>
      <c r="D41" s="61">
        <f>'Scenario Design'!$C32</f>
        <v>196.75299999999999</v>
      </c>
      <c r="E41" s="61">
        <v>35.392339999999997</v>
      </c>
      <c r="F41" s="61">
        <f>'Scenario Design'!D32</f>
        <v>17.59374</v>
      </c>
      <c r="G41" s="61">
        <f t="shared" si="0"/>
        <v>-17.798599999999997</v>
      </c>
      <c r="I41" s="36" t="s">
        <v>382</v>
      </c>
      <c r="J41" s="136">
        <f>'Scenario Design'!$K32</f>
        <v>197.476</v>
      </c>
      <c r="K41" s="61">
        <f>'Scenario Design'!$K32</f>
        <v>197.476</v>
      </c>
      <c r="L41" s="61">
        <v>35.98272</v>
      </c>
      <c r="M41" s="61">
        <f>'Scenario Design'!L32</f>
        <v>18.18412</v>
      </c>
      <c r="N41" s="61">
        <f t="shared" si="1"/>
        <v>-17.7986</v>
      </c>
    </row>
    <row r="44" spans="2:41" ht="20" x14ac:dyDescent="0.2">
      <c r="B44" s="38" t="s">
        <v>386</v>
      </c>
      <c r="C44" s="116"/>
      <c r="D44" s="116"/>
      <c r="E44" s="116"/>
      <c r="G44" s="38" t="s">
        <v>387</v>
      </c>
      <c r="H44" s="38"/>
      <c r="I44" s="38"/>
      <c r="J44" s="38"/>
    </row>
    <row r="46" spans="2:41" ht="35" thickBot="1" x14ac:dyDescent="0.25">
      <c r="B46" s="146"/>
      <c r="C46" s="147" t="s">
        <v>745</v>
      </c>
      <c r="D46" s="147" t="s">
        <v>694</v>
      </c>
      <c r="E46" s="147" t="s">
        <v>695</v>
      </c>
      <c r="G46" s="146"/>
      <c r="H46" s="148" t="s">
        <v>745</v>
      </c>
      <c r="I46" s="148" t="s">
        <v>694</v>
      </c>
      <c r="J46" s="148" t="s">
        <v>696</v>
      </c>
    </row>
    <row r="47" spans="2:41" x14ac:dyDescent="0.2">
      <c r="B47" s="149" t="s">
        <v>191</v>
      </c>
      <c r="C47" s="40">
        <f>'Scenario Design'!D15</f>
        <v>69.270809999999997</v>
      </c>
      <c r="D47" s="40">
        <v>22.22691</v>
      </c>
      <c r="E47" s="40">
        <v>17.929839999999999</v>
      </c>
      <c r="G47" s="149" t="s">
        <v>191</v>
      </c>
      <c r="H47" s="40">
        <f>'Scenario Design'!D26</f>
        <v>55.666930000000001</v>
      </c>
      <c r="I47" s="40">
        <v>10.367610000000001</v>
      </c>
      <c r="J47" s="40">
        <v>5.6767700000000003</v>
      </c>
      <c r="AH47" s="9"/>
      <c r="AI47" s="9"/>
      <c r="AJ47" s="9"/>
      <c r="AK47" s="9"/>
      <c r="AL47" s="9"/>
      <c r="AM47" s="9"/>
      <c r="AN47" s="9"/>
      <c r="AO47" s="9"/>
    </row>
    <row r="48" spans="2:41" x14ac:dyDescent="0.2">
      <c r="B48" s="149" t="s">
        <v>192</v>
      </c>
      <c r="C48" s="40">
        <f>'Scenario Design'!D16</f>
        <v>162.75029000000001</v>
      </c>
      <c r="D48" s="40">
        <v>108.71207</v>
      </c>
      <c r="E48" s="40">
        <v>102.45765</v>
      </c>
      <c r="G48" s="149" t="s">
        <v>192</v>
      </c>
      <c r="H48" s="40">
        <f>'Scenario Design'!D27</f>
        <v>100.45563</v>
      </c>
      <c r="I48" s="40">
        <v>46.79495</v>
      </c>
      <c r="J48" s="40">
        <v>40.700389999999999</v>
      </c>
    </row>
    <row r="49" spans="2:43" x14ac:dyDescent="0.2">
      <c r="B49" s="150" t="s">
        <v>285</v>
      </c>
      <c r="C49" s="137">
        <f>'Scenario Design'!D17</f>
        <v>96.664490000000001</v>
      </c>
      <c r="D49" s="62">
        <v>57.156880000000001</v>
      </c>
      <c r="E49" s="62">
        <v>53.22063</v>
      </c>
      <c r="G49" s="150" t="s">
        <v>285</v>
      </c>
      <c r="H49" s="137">
        <f>'Scenario Design'!D28</f>
        <v>46.044330000000002</v>
      </c>
      <c r="I49" s="62">
        <v>11.86415</v>
      </c>
      <c r="J49" s="62">
        <v>8.0715699999999995</v>
      </c>
      <c r="K49" s="6"/>
    </row>
    <row r="50" spans="2:43" x14ac:dyDescent="0.2">
      <c r="B50" s="149" t="s">
        <v>195</v>
      </c>
      <c r="C50" s="138">
        <f>'Scenario Design'!D18</f>
        <v>117.81555</v>
      </c>
      <c r="D50" s="44">
        <v>108.71207</v>
      </c>
      <c r="E50" s="44">
        <v>107.65843</v>
      </c>
      <c r="G50" s="149" t="s">
        <v>195</v>
      </c>
      <c r="H50" s="138">
        <f>'Scenario Design'!D29</f>
        <v>42.398229999999998</v>
      </c>
      <c r="I50" s="44">
        <v>-0.63653999999999999</v>
      </c>
      <c r="J50" s="44">
        <v>-5.57003</v>
      </c>
    </row>
    <row r="51" spans="2:43" x14ac:dyDescent="0.2">
      <c r="B51" s="149" t="s">
        <v>380</v>
      </c>
      <c r="C51" s="138">
        <f>'Scenario Design'!D19</f>
        <v>131.12665999999999</v>
      </c>
      <c r="D51" s="44">
        <v>77.088440000000006</v>
      </c>
      <c r="E51" s="40">
        <v>70.834019999999995</v>
      </c>
      <c r="G51" s="149" t="s">
        <v>380</v>
      </c>
      <c r="H51" s="138">
        <f>'Scenario Design'!D30</f>
        <v>69.052940000000007</v>
      </c>
      <c r="I51" s="44">
        <v>20.67184</v>
      </c>
      <c r="J51" s="44">
        <v>15.597289999999999</v>
      </c>
    </row>
    <row r="52" spans="2:43" x14ac:dyDescent="0.2">
      <c r="B52" s="149" t="s">
        <v>381</v>
      </c>
      <c r="C52" s="138">
        <f>'Scenario Design'!D20</f>
        <v>51.729750000000003</v>
      </c>
      <c r="D52" s="44">
        <v>57.156880000000001</v>
      </c>
      <c r="E52" s="44">
        <v>58.421410000000002</v>
      </c>
      <c r="G52" s="149" t="s">
        <v>381</v>
      </c>
      <c r="H52" s="138">
        <f>'Scenario Design'!D31</f>
        <v>-12.013059999999999</v>
      </c>
      <c r="I52" s="44">
        <v>-35.567340000000002</v>
      </c>
      <c r="J52" s="44">
        <v>-38.19885</v>
      </c>
    </row>
    <row r="53" spans="2:43" ht="17" thickBot="1" x14ac:dyDescent="0.25">
      <c r="B53" s="151" t="s">
        <v>382</v>
      </c>
      <c r="C53" s="139">
        <f>'Scenario Design'!D21</f>
        <v>86.191919999999996</v>
      </c>
      <c r="D53" s="64">
        <v>77.088440000000006</v>
      </c>
      <c r="E53" s="64">
        <v>76.034800000000004</v>
      </c>
      <c r="G53" s="151" t="s">
        <v>382</v>
      </c>
      <c r="H53" s="139">
        <f>'Scenario Design'!D32</f>
        <v>17.59374</v>
      </c>
      <c r="I53" s="64">
        <v>-25.13064</v>
      </c>
      <c r="J53" s="64">
        <v>-30.064129999999999</v>
      </c>
    </row>
    <row r="55" spans="2:43" x14ac:dyDescent="0.2">
      <c r="I55" s="6"/>
    </row>
    <row r="56" spans="2:43" ht="20" x14ac:dyDescent="0.2">
      <c r="B56" s="38" t="s">
        <v>705</v>
      </c>
      <c r="C56" s="159"/>
      <c r="D56" s="159"/>
      <c r="E56" s="159"/>
      <c r="F56" s="159"/>
      <c r="I56" s="6"/>
    </row>
    <row r="57" spans="2:43" x14ac:dyDescent="0.2">
      <c r="I57" s="6"/>
    </row>
    <row r="58" spans="2:43" ht="17" thickBot="1" x14ac:dyDescent="0.25">
      <c r="B58" s="104"/>
      <c r="C58" s="104" t="s">
        <v>704</v>
      </c>
      <c r="D58" s="104" t="s">
        <v>730</v>
      </c>
      <c r="E58" s="104" t="s">
        <v>278</v>
      </c>
      <c r="F58" s="104" t="s">
        <v>731</v>
      </c>
      <c r="I58" s="6"/>
      <c r="AP58" s="9"/>
      <c r="AQ58" s="9"/>
    </row>
    <row r="59" spans="2:43" x14ac:dyDescent="0.2">
      <c r="B59" s="2" t="s">
        <v>700</v>
      </c>
      <c r="C59" s="24">
        <f>'Scenario Design'!E41</f>
        <v>99.906883415994798</v>
      </c>
      <c r="D59" s="5">
        <v>0</v>
      </c>
      <c r="E59" s="4">
        <f>'Scenario Design'!E43</f>
        <v>510537741.23000002</v>
      </c>
      <c r="F59" s="4"/>
      <c r="I59" s="6"/>
    </row>
    <row r="60" spans="2:43" x14ac:dyDescent="0.2">
      <c r="B60" s="2" t="s">
        <v>701</v>
      </c>
      <c r="C60" s="4">
        <v>116.878345966911</v>
      </c>
      <c r="D60" s="133">
        <f>(C60-C59)/(C62-C59)</f>
        <v>0.14444426389538789</v>
      </c>
      <c r="E60" s="4">
        <v>520696028.06999999</v>
      </c>
      <c r="F60" s="4">
        <f>C60-C59</f>
        <v>16.9714625509162</v>
      </c>
      <c r="I60" s="6"/>
    </row>
    <row r="61" spans="2:43" x14ac:dyDescent="0.2">
      <c r="B61" s="2" t="s">
        <v>702</v>
      </c>
      <c r="C61" s="4">
        <v>132.578172466247</v>
      </c>
      <c r="D61" s="133">
        <f>(C61-C60)/(C62-C59)</f>
        <v>0.13362135851158385</v>
      </c>
      <c r="E61" s="4">
        <v>520696028.06999999</v>
      </c>
      <c r="F61" s="4">
        <f t="shared" ref="F61:F62" si="2">C61-C60</f>
        <v>15.699826499335998</v>
      </c>
    </row>
    <row r="62" spans="2:43" x14ac:dyDescent="0.2">
      <c r="B62" s="2" t="s">
        <v>703</v>
      </c>
      <c r="C62" s="24">
        <f>'Scenario Design'!C42</f>
        <v>217.40177101642999</v>
      </c>
      <c r="D62" s="133">
        <f>(C62-C61)/(C62-C59)</f>
        <v>0.72193437759302825</v>
      </c>
      <c r="E62" s="24">
        <f>'Scenario Design'!C43</f>
        <v>853837675.97000003</v>
      </c>
      <c r="F62" s="4">
        <f t="shared" si="2"/>
        <v>84.823598550182993</v>
      </c>
    </row>
    <row r="63" spans="2:43" s="9" customFormat="1" x14ac:dyDescent="0.2">
      <c r="B63" s="2"/>
      <c r="C63" s="2"/>
      <c r="D63" s="2"/>
      <c r="E63" s="2"/>
      <c r="F63" s="2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</sheetData>
  <mergeCells count="4">
    <mergeCell ref="B3:E3"/>
    <mergeCell ref="G3:J3"/>
    <mergeCell ref="L3:O3"/>
    <mergeCell ref="R3:AK3"/>
  </mergeCells>
  <conditionalFormatting sqref="S9:Y20">
    <cfRule type="colorScale" priority="2">
      <colorScale>
        <cfvo type="num" val="30"/>
        <cfvo type="percentile" val="50"/>
        <cfvo type="max"/>
        <color rgb="FF63BE7B"/>
        <color rgb="FFFCFCFF"/>
        <color rgb="FFF8696B"/>
      </colorScale>
    </cfRule>
  </conditionalFormatting>
  <conditionalFormatting sqref="S25:Y36">
    <cfRule type="colorScale" priority="3">
      <colorScale>
        <cfvo type="num" val="30"/>
        <cfvo type="percentile" val="50"/>
        <cfvo type="max"/>
        <color rgb="FF63BE7B"/>
        <color rgb="FFFCFCFF"/>
        <color rgb="FFF8696B"/>
      </colorScale>
    </cfRule>
  </conditionalFormatting>
  <conditionalFormatting sqref="AC9:AK15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C20:AK2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7684-4EB7-A84B-8496-F4D6D5117517}">
  <dimension ref="B2:S114"/>
  <sheetViews>
    <sheetView topLeftCell="A8" zoomScale="50" zoomScaleNormal="125" workbookViewId="0">
      <selection activeCell="O48" sqref="O48"/>
    </sheetView>
  </sheetViews>
  <sheetFormatPr baseColWidth="10" defaultRowHeight="16" x14ac:dyDescent="0.2"/>
  <cols>
    <col min="1" max="1" width="10.83203125" style="2"/>
    <col min="2" max="2" width="22" style="2" bestFit="1" customWidth="1"/>
    <col min="3" max="3" width="16.6640625" style="2" bestFit="1" customWidth="1"/>
    <col min="4" max="4" width="19.6640625" style="2" bestFit="1" customWidth="1"/>
    <col min="5" max="5" width="16.6640625" style="2" bestFit="1" customWidth="1"/>
    <col min="6" max="6" width="19.6640625" style="2" bestFit="1" customWidth="1"/>
    <col min="7" max="8" width="10.83203125" style="2"/>
    <col min="9" max="9" width="13.83203125" style="2" bestFit="1" customWidth="1"/>
    <col min="10" max="10" width="24.5" style="2" bestFit="1" customWidth="1"/>
    <col min="11" max="11" width="10.83203125" style="2"/>
    <col min="12" max="12" width="19.5" style="2" bestFit="1" customWidth="1"/>
    <col min="13" max="13" width="23.6640625" style="2" bestFit="1" customWidth="1"/>
    <col min="14" max="14" width="31" style="2" bestFit="1" customWidth="1"/>
    <col min="15" max="15" width="27.1640625" style="2" bestFit="1" customWidth="1"/>
    <col min="16" max="16" width="22.1640625" style="2" bestFit="1" customWidth="1"/>
    <col min="17" max="17" width="24.5" style="2" bestFit="1" customWidth="1"/>
    <col min="18" max="18" width="23.5" style="2" bestFit="1" customWidth="1"/>
    <col min="19" max="19" width="13.1640625" style="2" bestFit="1" customWidth="1"/>
    <col min="20" max="16384" width="10.83203125" style="2"/>
  </cols>
  <sheetData>
    <row r="2" spans="2:17" ht="26" thickBot="1" x14ac:dyDescent="0.3">
      <c r="B2" s="10" t="s">
        <v>1</v>
      </c>
      <c r="C2" s="1" t="s">
        <v>349</v>
      </c>
      <c r="D2" s="1" t="s">
        <v>350</v>
      </c>
      <c r="E2" s="1" t="s">
        <v>351</v>
      </c>
      <c r="F2" s="1" t="s">
        <v>352</v>
      </c>
      <c r="I2" s="252" t="s">
        <v>58</v>
      </c>
      <c r="J2" s="252"/>
      <c r="K2" s="252"/>
      <c r="L2" s="252"/>
      <c r="M2" s="252"/>
    </row>
    <row r="3" spans="2:17" x14ac:dyDescent="0.2">
      <c r="B3" s="2" t="s">
        <v>136</v>
      </c>
      <c r="C3" s="4">
        <v>51.633366438715171</v>
      </c>
      <c r="D3" s="4">
        <v>51.633366438715171</v>
      </c>
      <c r="E3" s="4">
        <v>51.284064253907665</v>
      </c>
      <c r="F3" s="4">
        <v>51.284064253907665</v>
      </c>
    </row>
    <row r="4" spans="2:17" x14ac:dyDescent="0.2">
      <c r="B4" s="2" t="s">
        <v>42</v>
      </c>
      <c r="C4" s="4">
        <v>15.162154230762107</v>
      </c>
      <c r="D4" s="4">
        <v>15.162154230762107</v>
      </c>
      <c r="E4" s="4">
        <v>15.059581534761746</v>
      </c>
      <c r="F4" s="4">
        <v>15.059581534761746</v>
      </c>
      <c r="H4" s="6"/>
    </row>
    <row r="5" spans="2:17" x14ac:dyDescent="0.2">
      <c r="B5" s="2" t="s">
        <v>38</v>
      </c>
      <c r="C5" s="4">
        <v>4.1865328717794075</v>
      </c>
      <c r="D5" s="4">
        <v>4.1865328717794075</v>
      </c>
      <c r="E5" s="4">
        <v>4.1582107773713917</v>
      </c>
      <c r="F5" s="4">
        <v>4.1582107773713917</v>
      </c>
      <c r="H5" s="6"/>
      <c r="I5" s="88" t="s">
        <v>76</v>
      </c>
      <c r="J5" s="2" t="s">
        <v>73</v>
      </c>
    </row>
    <row r="6" spans="2:17" x14ac:dyDescent="0.2">
      <c r="B6" s="2" t="s">
        <v>376</v>
      </c>
      <c r="C6" s="4">
        <v>64.135758752960854</v>
      </c>
      <c r="D6" s="4">
        <v>64.135758752960854</v>
      </c>
      <c r="E6" s="4">
        <v>73.894177654407841</v>
      </c>
      <c r="F6" s="4">
        <v>73.894177654407841</v>
      </c>
      <c r="M6" s="88" t="s">
        <v>76</v>
      </c>
      <c r="N6" s="2" t="s">
        <v>698</v>
      </c>
    </row>
    <row r="7" spans="2:17" x14ac:dyDescent="0.2">
      <c r="B7" s="2" t="s">
        <v>70</v>
      </c>
      <c r="C7" s="4">
        <v>6.9727426795498406</v>
      </c>
      <c r="D7" s="4">
        <v>6.9727426795498406</v>
      </c>
      <c r="E7" s="4">
        <v>4.5166772236965116</v>
      </c>
      <c r="F7" s="4">
        <v>4.5166772236965116</v>
      </c>
      <c r="I7" s="88" t="s">
        <v>171</v>
      </c>
      <c r="J7" s="2" t="s">
        <v>331</v>
      </c>
    </row>
    <row r="8" spans="2:17" x14ac:dyDescent="0.2">
      <c r="B8" s="2" t="s">
        <v>58</v>
      </c>
      <c r="C8" s="4">
        <v>0</v>
      </c>
      <c r="D8" s="4">
        <v>0</v>
      </c>
      <c r="E8" s="4">
        <v>0</v>
      </c>
      <c r="F8" s="4">
        <v>0</v>
      </c>
      <c r="H8" s="6"/>
      <c r="I8" s="89" t="s">
        <v>319</v>
      </c>
      <c r="J8" s="8">
        <v>38.865035714285703</v>
      </c>
      <c r="M8" s="88" t="s">
        <v>171</v>
      </c>
      <c r="N8" s="2" t="s">
        <v>353</v>
      </c>
      <c r="O8" s="2" t="s">
        <v>354</v>
      </c>
      <c r="P8" s="2" t="s">
        <v>355</v>
      </c>
      <c r="Q8" s="2" t="s">
        <v>331</v>
      </c>
    </row>
    <row r="9" spans="2:17" ht="17" thickBot="1" x14ac:dyDescent="0.25">
      <c r="B9" s="17" t="s">
        <v>167</v>
      </c>
      <c r="C9" s="117">
        <v>142.09055497376738</v>
      </c>
      <c r="D9" s="84">
        <v>142.09055497376738</v>
      </c>
      <c r="E9" s="84">
        <v>148.91271144414517</v>
      </c>
      <c r="F9" s="84">
        <v>148.91271144414517</v>
      </c>
      <c r="I9" s="90" t="s">
        <v>322</v>
      </c>
      <c r="J9" s="8">
        <v>38.865035714285703</v>
      </c>
      <c r="M9" s="89" t="s">
        <v>169</v>
      </c>
      <c r="N9" s="8">
        <v>68.206553191489334</v>
      </c>
      <c r="O9" s="8">
        <v>15.053191489361701</v>
      </c>
      <c r="P9" s="8">
        <v>25.531914893617021</v>
      </c>
      <c r="Q9" s="8">
        <v>27.621446808510637</v>
      </c>
    </row>
    <row r="10" spans="2:17" x14ac:dyDescent="0.2">
      <c r="I10" s="89" t="s">
        <v>143</v>
      </c>
      <c r="J10" s="8">
        <v>27.215894444444444</v>
      </c>
      <c r="M10" s="90" t="s">
        <v>323</v>
      </c>
      <c r="N10" s="8">
        <v>57.419163043478235</v>
      </c>
      <c r="O10" s="8">
        <v>15</v>
      </c>
      <c r="P10" s="8">
        <v>22.173913043478262</v>
      </c>
      <c r="Q10" s="8">
        <v>20.245249999999995</v>
      </c>
    </row>
    <row r="11" spans="2:17" ht="18" thickBot="1" x14ac:dyDescent="0.25">
      <c r="B11" s="10" t="s">
        <v>1</v>
      </c>
      <c r="C11" s="1" t="s">
        <v>349</v>
      </c>
      <c r="D11" s="1" t="s">
        <v>350</v>
      </c>
      <c r="E11" s="1" t="s">
        <v>351</v>
      </c>
      <c r="F11" s="1" t="s">
        <v>352</v>
      </c>
      <c r="I11" s="90" t="s">
        <v>323</v>
      </c>
      <c r="J11" s="8">
        <v>20.245249999999999</v>
      </c>
      <c r="M11" s="91" t="s">
        <v>143</v>
      </c>
      <c r="N11" s="8">
        <v>57.419163043478235</v>
      </c>
      <c r="O11" s="8">
        <v>15</v>
      </c>
      <c r="P11" s="8">
        <v>22.173913043478262</v>
      </c>
      <c r="Q11" s="8">
        <v>20.245249999999995</v>
      </c>
    </row>
    <row r="12" spans="2:17" x14ac:dyDescent="0.2">
      <c r="B12" s="2" t="s">
        <v>136</v>
      </c>
      <c r="C12" s="4">
        <v>53.335184113631534</v>
      </c>
      <c r="D12" s="4">
        <v>53.335184113631534</v>
      </c>
      <c r="E12" s="4">
        <v>52.962559798434199</v>
      </c>
      <c r="F12" s="4">
        <v>52.962559798434199</v>
      </c>
      <c r="I12" s="90" t="s">
        <v>322</v>
      </c>
      <c r="J12" s="8">
        <v>34.503386363636359</v>
      </c>
      <c r="M12" s="92" t="s">
        <v>318</v>
      </c>
      <c r="N12" s="8">
        <v>70.008431818181805</v>
      </c>
      <c r="O12" s="8">
        <v>15</v>
      </c>
      <c r="P12" s="8">
        <v>30</v>
      </c>
      <c r="Q12" s="8">
        <v>25.008431818181808</v>
      </c>
    </row>
    <row r="13" spans="2:17" x14ac:dyDescent="0.2">
      <c r="B13" s="2" t="s">
        <v>42</v>
      </c>
      <c r="C13" s="4">
        <v>15.661893524157692</v>
      </c>
      <c r="D13" s="4">
        <v>15.661893524157692</v>
      </c>
      <c r="E13" s="4">
        <v>15.552472277261851</v>
      </c>
      <c r="F13" s="4">
        <v>15.552472277261851</v>
      </c>
      <c r="I13" s="89" t="s">
        <v>317</v>
      </c>
      <c r="J13" s="8">
        <v>61.005731250000032</v>
      </c>
      <c r="M13" s="92" t="s">
        <v>321</v>
      </c>
      <c r="N13" s="8">
        <v>45.878999999999998</v>
      </c>
      <c r="O13" s="8">
        <v>15</v>
      </c>
      <c r="P13" s="8">
        <v>15</v>
      </c>
      <c r="Q13" s="8">
        <v>15.878999999999996</v>
      </c>
    </row>
    <row r="14" spans="2:17" x14ac:dyDescent="0.2">
      <c r="B14" s="2" t="s">
        <v>38</v>
      </c>
      <c r="C14" s="4">
        <v>4.3245195290365723</v>
      </c>
      <c r="D14" s="4">
        <v>4.3245195290365723</v>
      </c>
      <c r="E14" s="4">
        <v>4.2943064313442196</v>
      </c>
      <c r="F14" s="4">
        <v>4.2943064313442196</v>
      </c>
      <c r="I14" s="90" t="s">
        <v>323</v>
      </c>
      <c r="J14" s="8">
        <v>60.26850000000001</v>
      </c>
      <c r="M14" s="90" t="s">
        <v>322</v>
      </c>
      <c r="N14" s="8">
        <v>80.475423913043471</v>
      </c>
      <c r="O14" s="8">
        <v>15.108695652173912</v>
      </c>
      <c r="P14" s="8">
        <v>29.347826086956523</v>
      </c>
      <c r="Q14" s="8">
        <v>36.018902173913034</v>
      </c>
    </row>
    <row r="15" spans="2:17" x14ac:dyDescent="0.2">
      <c r="B15" s="2" t="s">
        <v>376</v>
      </c>
      <c r="C15" s="4">
        <v>66.249650899999338</v>
      </c>
      <c r="D15" s="4">
        <v>66.249650899999338</v>
      </c>
      <c r="E15" s="4">
        <v>76.312688155940975</v>
      </c>
      <c r="F15" s="4">
        <v>76.312688155940975</v>
      </c>
      <c r="I15" s="90" t="s">
        <v>322</v>
      </c>
      <c r="J15" s="8">
        <v>62.003161764705872</v>
      </c>
      <c r="M15" s="91" t="s">
        <v>143</v>
      </c>
      <c r="N15" s="8">
        <v>78.821568181818179</v>
      </c>
      <c r="O15" s="8">
        <v>15</v>
      </c>
      <c r="P15" s="8">
        <v>29.318181818181817</v>
      </c>
      <c r="Q15" s="8">
        <v>34.503386363636359</v>
      </c>
    </row>
    <row r="16" spans="2:17" x14ac:dyDescent="0.2">
      <c r="B16" s="2" t="s">
        <v>70</v>
      </c>
      <c r="C16" s="4">
        <v>7.2025618362919452</v>
      </c>
      <c r="D16" s="4">
        <v>7.2025618362919452</v>
      </c>
      <c r="E16" s="4">
        <v>4.6645052616325149</v>
      </c>
      <c r="F16" s="4">
        <v>4.6645052616325149</v>
      </c>
      <c r="I16" s="89" t="s">
        <v>172</v>
      </c>
      <c r="J16" s="8">
        <v>42.793475543478259</v>
      </c>
      <c r="M16" s="92" t="s">
        <v>320</v>
      </c>
      <c r="N16" s="8">
        <v>76.068666666666658</v>
      </c>
      <c r="O16" s="8">
        <v>15</v>
      </c>
      <c r="P16" s="8">
        <v>30</v>
      </c>
      <c r="Q16" s="8">
        <v>31.068666666666662</v>
      </c>
    </row>
    <row r="17" spans="2:17" x14ac:dyDescent="0.2">
      <c r="B17" s="2" t="s">
        <v>58</v>
      </c>
      <c r="C17" s="4">
        <v>91.196340211195334</v>
      </c>
      <c r="D17" s="4">
        <v>133.83519329989474</v>
      </c>
      <c r="E17" s="4">
        <v>42.966750308411434</v>
      </c>
      <c r="F17" s="4">
        <v>43.689314277561905</v>
      </c>
      <c r="M17" s="92" t="s">
        <v>318</v>
      </c>
      <c r="N17" s="8">
        <v>80.283124999999984</v>
      </c>
      <c r="O17" s="8">
        <v>15</v>
      </c>
      <c r="P17" s="8">
        <v>30</v>
      </c>
      <c r="Q17" s="8">
        <v>35.283124999999998</v>
      </c>
    </row>
    <row r="18" spans="2:17" ht="17" thickBot="1" x14ac:dyDescent="0.25">
      <c r="B18" s="17" t="s">
        <v>167</v>
      </c>
      <c r="C18" s="117">
        <v>237.97015011431245</v>
      </c>
      <c r="D18" s="84">
        <v>280.60900320301187</v>
      </c>
      <c r="E18" s="84">
        <v>196.7532822330252</v>
      </c>
      <c r="F18" s="84">
        <v>197.47584620217566</v>
      </c>
      <c r="J18" s="2" t="s">
        <v>323</v>
      </c>
      <c r="K18" s="2" t="s">
        <v>322</v>
      </c>
      <c r="M18" s="92" t="s">
        <v>321</v>
      </c>
      <c r="N18" s="8">
        <v>60.772249999999993</v>
      </c>
      <c r="O18" s="8">
        <v>15</v>
      </c>
      <c r="P18" s="8">
        <v>15</v>
      </c>
      <c r="Q18" s="8">
        <v>30.772249999999993</v>
      </c>
    </row>
    <row r="19" spans="2:17" x14ac:dyDescent="0.2">
      <c r="C19" s="154"/>
      <c r="D19" s="160"/>
      <c r="E19" s="6"/>
      <c r="I19" s="93" t="s">
        <v>319</v>
      </c>
      <c r="J19" s="94"/>
      <c r="K19" s="4">
        <f>GETPIVOTDATA("Transport Cost",$I$7,"Mode of Transport","Barge","Sector Germany","South")</f>
        <v>38.865035714285703</v>
      </c>
      <c r="M19" s="91" t="s">
        <v>317</v>
      </c>
      <c r="N19" s="8">
        <v>116.86024999999999</v>
      </c>
      <c r="O19" s="8">
        <v>17.5</v>
      </c>
      <c r="P19" s="8">
        <v>30</v>
      </c>
      <c r="Q19" s="8">
        <v>69.360249999999994</v>
      </c>
    </row>
    <row r="20" spans="2:17" x14ac:dyDescent="0.2">
      <c r="I20" s="2" t="s">
        <v>143</v>
      </c>
      <c r="J20" s="11">
        <f>GETPIVOTDATA("Transport Cost",$I$7,"Mode of Transport","Pipeline","Sector Germany","North")</f>
        <v>20.245249999999999</v>
      </c>
      <c r="K20" s="4">
        <f>GETPIVOTDATA("Transport Cost",$I$7,"Mode of Transport","Pipeline","Sector Germany","South")</f>
        <v>34.503386363636359</v>
      </c>
      <c r="M20" s="92" t="s">
        <v>318</v>
      </c>
      <c r="N20" s="8">
        <v>116.86024999999999</v>
      </c>
      <c r="O20" s="8">
        <v>17.5</v>
      </c>
      <c r="P20" s="8">
        <v>30</v>
      </c>
      <c r="Q20" s="8">
        <v>69.360249999999994</v>
      </c>
    </row>
    <row r="21" spans="2:17" x14ac:dyDescent="0.2">
      <c r="I21" s="93" t="s">
        <v>317</v>
      </c>
      <c r="J21" s="94">
        <f>GETPIVOTDATA("Transport Cost",$I$7,"Mode of Transport","Rail","Sector Germany","North")</f>
        <v>60.26850000000001</v>
      </c>
      <c r="K21" s="4">
        <f>GETPIVOTDATA("Transport Cost",$I$7,"Mode of Transport","Rail","Sector Germany","South")</f>
        <v>62.003161764705872</v>
      </c>
      <c r="M21" s="90" t="s">
        <v>72</v>
      </c>
      <c r="N21" s="8">
        <v>34.132499999999993</v>
      </c>
      <c r="O21" s="8">
        <v>15</v>
      </c>
      <c r="P21" s="8">
        <v>15</v>
      </c>
      <c r="Q21" s="8">
        <v>4.1324999999999932</v>
      </c>
    </row>
    <row r="22" spans="2:17" x14ac:dyDescent="0.2">
      <c r="J22" s="8"/>
      <c r="M22" s="91" t="s">
        <v>697</v>
      </c>
      <c r="N22" s="8">
        <v>34.132499999999993</v>
      </c>
      <c r="O22" s="8">
        <v>15</v>
      </c>
      <c r="P22" s="8">
        <v>15</v>
      </c>
      <c r="Q22" s="8">
        <v>4.1324999999999932</v>
      </c>
    </row>
    <row r="23" spans="2:17" x14ac:dyDescent="0.2">
      <c r="J23" s="8"/>
      <c r="M23" s="92" t="s">
        <v>78</v>
      </c>
      <c r="N23" s="8">
        <v>34.132499999999993</v>
      </c>
      <c r="O23" s="8">
        <v>15</v>
      </c>
      <c r="P23" s="8">
        <v>15</v>
      </c>
      <c r="Q23" s="8">
        <v>4.1324999999999932</v>
      </c>
    </row>
    <row r="24" spans="2:17" x14ac:dyDescent="0.2">
      <c r="I24" s="93"/>
      <c r="J24" s="95"/>
      <c r="M24" s="89" t="s">
        <v>170</v>
      </c>
      <c r="N24" s="8">
        <v>103.46022872340423</v>
      </c>
      <c r="O24" s="8">
        <v>17.446808510638299</v>
      </c>
      <c r="P24" s="8">
        <v>29.680851063829788</v>
      </c>
      <c r="Q24" s="8">
        <v>56.332569148936173</v>
      </c>
    </row>
    <row r="25" spans="2:17" x14ac:dyDescent="0.2">
      <c r="I25" s="90"/>
      <c r="J25" s="8"/>
      <c r="M25" s="90" t="s">
        <v>323</v>
      </c>
      <c r="N25" s="8">
        <v>107.76849999999999</v>
      </c>
      <c r="O25" s="8">
        <v>17.5</v>
      </c>
      <c r="P25" s="8">
        <v>30</v>
      </c>
      <c r="Q25" s="8">
        <v>60.26850000000001</v>
      </c>
    </row>
    <row r="26" spans="2:17" x14ac:dyDescent="0.2">
      <c r="I26" s="90"/>
      <c r="J26" s="8"/>
      <c r="M26" s="91" t="s">
        <v>317</v>
      </c>
      <c r="N26" s="8">
        <v>107.76849999999999</v>
      </c>
      <c r="O26" s="8">
        <v>17.5</v>
      </c>
      <c r="P26" s="8">
        <v>30</v>
      </c>
      <c r="Q26" s="8">
        <v>60.26850000000001</v>
      </c>
    </row>
    <row r="27" spans="2:17" x14ac:dyDescent="0.2">
      <c r="M27" s="92" t="s">
        <v>324</v>
      </c>
      <c r="N27" s="8">
        <v>117.0866818181818</v>
      </c>
      <c r="O27" s="8">
        <v>17.5</v>
      </c>
      <c r="P27" s="8">
        <v>30</v>
      </c>
      <c r="Q27" s="8">
        <v>69.586681818181816</v>
      </c>
    </row>
    <row r="28" spans="2:17" x14ac:dyDescent="0.2">
      <c r="M28" s="92" t="s">
        <v>318</v>
      </c>
      <c r="N28" s="8">
        <v>99.226833333333332</v>
      </c>
      <c r="O28" s="8">
        <v>17.5</v>
      </c>
      <c r="P28" s="8">
        <v>30</v>
      </c>
      <c r="Q28" s="8">
        <v>51.726833333333332</v>
      </c>
    </row>
    <row r="29" spans="2:17" x14ac:dyDescent="0.2">
      <c r="M29" s="90" t="s">
        <v>322</v>
      </c>
      <c r="N29" s="8">
        <v>102.14125000000001</v>
      </c>
      <c r="O29" s="8">
        <v>17.5</v>
      </c>
      <c r="P29" s="8">
        <v>30</v>
      </c>
      <c r="Q29" s="8">
        <v>54.641249999999999</v>
      </c>
    </row>
    <row r="30" spans="2:17" x14ac:dyDescent="0.2">
      <c r="M30" s="91" t="s">
        <v>319</v>
      </c>
      <c r="N30" s="8">
        <v>86.365035714285696</v>
      </c>
      <c r="O30" s="8">
        <v>17.5</v>
      </c>
      <c r="P30" s="8">
        <v>30</v>
      </c>
      <c r="Q30" s="8">
        <v>38.865035714285703</v>
      </c>
    </row>
    <row r="31" spans="2:17" x14ac:dyDescent="0.2">
      <c r="M31" s="92" t="s">
        <v>318</v>
      </c>
      <c r="N31" s="8">
        <v>86.365035714285696</v>
      </c>
      <c r="O31" s="8">
        <v>17.5</v>
      </c>
      <c r="P31" s="8">
        <v>30</v>
      </c>
      <c r="Q31" s="8">
        <v>38.865035714285703</v>
      </c>
    </row>
    <row r="32" spans="2:17" x14ac:dyDescent="0.2">
      <c r="M32" s="91" t="s">
        <v>317</v>
      </c>
      <c r="N32" s="8">
        <v>109.04334375000001</v>
      </c>
      <c r="O32" s="8">
        <v>17.5</v>
      </c>
      <c r="P32" s="8">
        <v>30</v>
      </c>
      <c r="Q32" s="8">
        <v>61.543343749999984</v>
      </c>
    </row>
    <row r="33" spans="2:19" x14ac:dyDescent="0.2">
      <c r="M33" s="92" t="s">
        <v>320</v>
      </c>
      <c r="N33" s="8">
        <v>111.16352777777777</v>
      </c>
      <c r="O33" s="8">
        <v>17.5</v>
      </c>
      <c r="P33" s="8">
        <v>30</v>
      </c>
      <c r="Q33" s="8">
        <v>63.663527777777773</v>
      </c>
    </row>
    <row r="34" spans="2:19" x14ac:dyDescent="0.2">
      <c r="I34" s="96"/>
      <c r="J34" s="4"/>
      <c r="K34" s="4"/>
      <c r="L34" s="4"/>
      <c r="M34" s="92" t="s">
        <v>318</v>
      </c>
      <c r="N34" s="8">
        <v>106.31739285714285</v>
      </c>
      <c r="O34" s="8">
        <v>17.5</v>
      </c>
      <c r="P34" s="8">
        <v>30</v>
      </c>
      <c r="Q34" s="8">
        <v>58.817392857142849</v>
      </c>
    </row>
    <row r="35" spans="2:19" x14ac:dyDescent="0.2">
      <c r="I35" s="141"/>
      <c r="J35" s="141"/>
      <c r="K35" s="141"/>
      <c r="L35" s="141"/>
      <c r="M35" s="90" t="s">
        <v>72</v>
      </c>
      <c r="N35" s="8">
        <v>34.706499999999998</v>
      </c>
      <c r="O35" s="8">
        <v>15</v>
      </c>
      <c r="P35" s="8">
        <v>15</v>
      </c>
      <c r="Q35" s="8">
        <v>4.7064999999999984</v>
      </c>
    </row>
    <row r="36" spans="2:19" x14ac:dyDescent="0.2">
      <c r="I36" s="140"/>
      <c r="J36" s="140"/>
      <c r="K36" s="140"/>
      <c r="L36" s="140"/>
      <c r="M36" s="91" t="s">
        <v>697</v>
      </c>
      <c r="N36" s="8">
        <v>34.706499999999998</v>
      </c>
      <c r="O36" s="8">
        <v>15</v>
      </c>
      <c r="P36" s="8">
        <v>15</v>
      </c>
      <c r="Q36" s="8">
        <v>4.7064999999999984</v>
      </c>
    </row>
    <row r="37" spans="2:19" x14ac:dyDescent="0.2">
      <c r="I37" s="142"/>
      <c r="J37" s="142"/>
      <c r="K37" s="142"/>
      <c r="L37" s="142"/>
      <c r="M37" s="92" t="s">
        <v>78</v>
      </c>
      <c r="N37" s="8">
        <v>34.706499999999998</v>
      </c>
      <c r="O37" s="8">
        <v>15</v>
      </c>
      <c r="P37" s="8">
        <v>15</v>
      </c>
      <c r="Q37" s="8">
        <v>4.7064999999999984</v>
      </c>
    </row>
    <row r="38" spans="2:19" x14ac:dyDescent="0.2">
      <c r="I38" s="142"/>
      <c r="J38" s="142"/>
      <c r="K38" s="142"/>
      <c r="L38" s="142"/>
      <c r="M38" s="89" t="s">
        <v>172</v>
      </c>
      <c r="N38" s="8">
        <v>85.833390957446781</v>
      </c>
      <c r="O38" s="8">
        <v>16.25</v>
      </c>
      <c r="P38" s="8">
        <v>27.606382978723403</v>
      </c>
      <c r="Q38" s="8">
        <v>41.9770079787234</v>
      </c>
    </row>
    <row r="40" spans="2:19" x14ac:dyDescent="0.2">
      <c r="R40" s="4"/>
    </row>
    <row r="41" spans="2:19" x14ac:dyDescent="0.2">
      <c r="R41" s="141"/>
      <c r="S41" s="141"/>
    </row>
    <row r="42" spans="2:19" ht="28" x14ac:dyDescent="0.3">
      <c r="I42" s="251" t="s">
        <v>741</v>
      </c>
      <c r="J42" s="251"/>
      <c r="K42" s="251"/>
      <c r="L42" s="251"/>
      <c r="M42" s="251"/>
      <c r="R42" s="142"/>
      <c r="S42" s="142"/>
    </row>
    <row r="43" spans="2:19" ht="17" thickBot="1" x14ac:dyDescent="0.25">
      <c r="B43" s="104" t="s">
        <v>343</v>
      </c>
      <c r="C43" s="104"/>
      <c r="D43" s="104"/>
      <c r="R43" s="142"/>
      <c r="S43" s="142"/>
    </row>
    <row r="44" spans="2:19" x14ac:dyDescent="0.2">
      <c r="C44" s="2" t="s">
        <v>341</v>
      </c>
      <c r="D44" s="2" t="s">
        <v>342</v>
      </c>
      <c r="R44" s="142"/>
      <c r="S44" s="142"/>
    </row>
    <row r="45" spans="2:19" x14ac:dyDescent="0.2">
      <c r="B45" s="2" t="s">
        <v>280</v>
      </c>
      <c r="C45" s="111">
        <f>Sensitivities!M7</f>
        <v>-0.17877463545825106</v>
      </c>
      <c r="D45" s="112">
        <f>Sensitivities!O7</f>
        <v>0.23929486910114731</v>
      </c>
      <c r="E45" s="112"/>
      <c r="I45" s="142"/>
      <c r="J45" s="142"/>
      <c r="K45" s="142"/>
      <c r="L45" s="142"/>
      <c r="M45" s="44"/>
      <c r="O45" s="142"/>
      <c r="P45" s="142"/>
      <c r="Q45" s="142"/>
      <c r="R45" s="142"/>
      <c r="S45" s="142"/>
    </row>
    <row r="46" spans="2:19" x14ac:dyDescent="0.2">
      <c r="B46" s="2" t="s">
        <v>346</v>
      </c>
      <c r="C46" s="111">
        <f>Sensitivities!M8</f>
        <v>-5.5679287305122498E-2</v>
      </c>
      <c r="D46" s="112">
        <f>Sensitivities!O8</f>
        <v>5.5679287305122498E-2</v>
      </c>
      <c r="E46" s="112"/>
      <c r="I46" s="142"/>
      <c r="J46" s="142"/>
      <c r="K46" s="142"/>
      <c r="L46" s="142"/>
      <c r="M46" s="44"/>
      <c r="O46" s="140"/>
      <c r="P46" s="140"/>
      <c r="Q46" s="140"/>
      <c r="R46" s="140"/>
      <c r="S46" s="140"/>
    </row>
    <row r="47" spans="2:19" x14ac:dyDescent="0.2">
      <c r="B47" s="2" t="s">
        <v>347</v>
      </c>
      <c r="C47" s="111">
        <f>Sensitivities!M9</f>
        <v>-6.0469807118544057E-3</v>
      </c>
      <c r="D47" s="112">
        <f>Sensitivities!O9</f>
        <v>6.0469807118544057E-3</v>
      </c>
      <c r="E47" s="112"/>
      <c r="I47" s="142"/>
      <c r="J47" s="142"/>
      <c r="K47" s="142"/>
      <c r="L47" s="142"/>
      <c r="M47" s="44"/>
      <c r="N47" s="44"/>
      <c r="O47" s="44"/>
      <c r="P47" s="44"/>
      <c r="Q47" s="44"/>
    </row>
    <row r="48" spans="2:19" x14ac:dyDescent="0.2">
      <c r="B48" s="2" t="s">
        <v>63</v>
      </c>
      <c r="C48" s="111">
        <f>Sensitivities!M10</f>
        <v>-3.3853006681514523E-2</v>
      </c>
      <c r="D48" s="112">
        <f>Sensitivities!O10</f>
        <v>3.7866117577845929E-2</v>
      </c>
      <c r="E48" s="112"/>
    </row>
    <row r="50" spans="2:10" x14ac:dyDescent="0.2">
      <c r="B50" s="87"/>
      <c r="C50" s="87"/>
      <c r="D50" s="87"/>
      <c r="E50" s="87"/>
    </row>
    <row r="51" spans="2:10" x14ac:dyDescent="0.2">
      <c r="B51" s="20"/>
      <c r="C51" s="20"/>
      <c r="D51" s="20"/>
      <c r="E51" s="20"/>
    </row>
    <row r="52" spans="2:10" x14ac:dyDescent="0.2">
      <c r="B52" s="20"/>
      <c r="C52" s="20"/>
      <c r="D52" s="20"/>
      <c r="E52" s="20"/>
    </row>
    <row r="53" spans="2:10" x14ac:dyDescent="0.2">
      <c r="B53" s="20"/>
      <c r="C53" s="20"/>
      <c r="D53" s="20"/>
      <c r="E53" s="20"/>
    </row>
    <row r="54" spans="2:10" x14ac:dyDescent="0.2">
      <c r="B54" s="20"/>
      <c r="C54" s="20"/>
      <c r="D54" s="20"/>
      <c r="E54" s="20"/>
      <c r="J54" s="97"/>
    </row>
    <row r="65" spans="2:5" ht="17" thickBot="1" x14ac:dyDescent="0.25">
      <c r="B65" s="104" t="s">
        <v>344</v>
      </c>
      <c r="C65" s="104"/>
      <c r="D65" s="104"/>
    </row>
    <row r="66" spans="2:5" x14ac:dyDescent="0.2">
      <c r="C66" s="2" t="s">
        <v>341</v>
      </c>
      <c r="D66" s="2" t="s">
        <v>342</v>
      </c>
    </row>
    <row r="67" spans="2:5" x14ac:dyDescent="0.2">
      <c r="B67" s="2" t="s">
        <v>280</v>
      </c>
      <c r="C67" s="111">
        <f>Sensitivities!M14</f>
        <v>-0.11612599738426062</v>
      </c>
      <c r="D67" s="112">
        <f>Sensitivities!O14</f>
        <v>8.355398436971026E-2</v>
      </c>
      <c r="E67" s="114"/>
    </row>
    <row r="68" spans="2:5" x14ac:dyDescent="0.2">
      <c r="B68" s="2" t="s">
        <v>346</v>
      </c>
      <c r="C68" s="111">
        <f>Sensitivities!M15</f>
        <v>-4.7218727838380097E-2</v>
      </c>
      <c r="D68" s="112">
        <f>Sensitivities!O15</f>
        <v>4.7218727838380097E-2</v>
      </c>
      <c r="E68" s="114"/>
    </row>
    <row r="69" spans="2:5" x14ac:dyDescent="0.2">
      <c r="B69" s="2" t="s">
        <v>347</v>
      </c>
      <c r="C69" s="111">
        <f>Sensitivities!M16</f>
        <v>-5.128132027126588E-3</v>
      </c>
      <c r="D69" s="112">
        <f>Sensitivities!O16</f>
        <v>5.1281320271267901E-3</v>
      </c>
      <c r="E69" s="114"/>
    </row>
    <row r="70" spans="2:5" x14ac:dyDescent="0.2">
      <c r="B70" s="2" t="s">
        <v>63</v>
      </c>
      <c r="C70" s="111">
        <f>Sensitivities!M17</f>
        <v>-2.8708986525735041E-2</v>
      </c>
      <c r="D70" s="112">
        <f>Sensitivities!O17</f>
        <v>3.2108734930098637E-2</v>
      </c>
      <c r="E70" s="114"/>
    </row>
    <row r="88" spans="2:5" ht="17" thickBot="1" x14ac:dyDescent="0.25">
      <c r="B88" s="104" t="s">
        <v>348</v>
      </c>
      <c r="C88" s="104"/>
      <c r="D88" s="104"/>
    </row>
    <row r="89" spans="2:5" x14ac:dyDescent="0.2">
      <c r="C89" s="2" t="s">
        <v>341</v>
      </c>
      <c r="D89" s="2" t="s">
        <v>342</v>
      </c>
    </row>
    <row r="90" spans="2:5" x14ac:dyDescent="0.2">
      <c r="B90" s="2" t="s">
        <v>346</v>
      </c>
      <c r="C90" s="111">
        <f>Sensitivities!M21</f>
        <v>-7.7569338205770555E-2</v>
      </c>
      <c r="D90" s="111">
        <f>Sensitivities!O21</f>
        <v>7.7574420720395651E-2</v>
      </c>
      <c r="E90" s="115"/>
    </row>
    <row r="91" spans="2:5" x14ac:dyDescent="0.2">
      <c r="B91" s="2" t="s">
        <v>347</v>
      </c>
      <c r="C91" s="111">
        <f>Sensitivities!M22</f>
        <v>-4.7419861450650955E-3</v>
      </c>
      <c r="D91" s="111">
        <f>Sensitivities!O22</f>
        <v>4.7419861450652403E-3</v>
      </c>
      <c r="E91" s="115"/>
    </row>
    <row r="92" spans="2:5" x14ac:dyDescent="0.2">
      <c r="B92" s="2" t="s">
        <v>63</v>
      </c>
      <c r="C92" s="111">
        <f>Sensitivities!M23</f>
        <v>-4.0151865536992973E-2</v>
      </c>
      <c r="D92" s="111">
        <f>Sensitivities!O23</f>
        <v>4.5031079576931553E-2</v>
      </c>
      <c r="E92" s="115"/>
    </row>
    <row r="110" spans="2:5" ht="17" thickBot="1" x14ac:dyDescent="0.25">
      <c r="B110" s="104" t="s">
        <v>345</v>
      </c>
      <c r="C110" s="104"/>
      <c r="D110" s="104"/>
    </row>
    <row r="111" spans="2:5" x14ac:dyDescent="0.2">
      <c r="C111" s="2" t="s">
        <v>341</v>
      </c>
      <c r="D111" s="2" t="s">
        <v>342</v>
      </c>
    </row>
    <row r="112" spans="2:5" x14ac:dyDescent="0.2">
      <c r="B112" s="2" t="s">
        <v>346</v>
      </c>
      <c r="C112" s="111">
        <f>Sensitivities!M27</f>
        <v>-7.7290404909963764E-2</v>
      </c>
      <c r="D112" s="111">
        <f>Sensitivities!O27</f>
        <v>7.7285341003463709E-2</v>
      </c>
      <c r="E112" s="115"/>
    </row>
    <row r="113" spans="2:5" x14ac:dyDescent="0.2">
      <c r="B113" s="2" t="s">
        <v>347</v>
      </c>
      <c r="C113" s="111">
        <f>Sensitivities!M28</f>
        <v>-4.7246247645283106E-3</v>
      </c>
      <c r="D113" s="111">
        <f>Sensitivities!O28</f>
        <v>4.7246247645283106E-3</v>
      </c>
      <c r="E113" s="115"/>
    </row>
    <row r="114" spans="2:5" x14ac:dyDescent="0.2">
      <c r="B114" s="2" t="s">
        <v>63</v>
      </c>
      <c r="C114" s="111">
        <f>Sensitivities!M29</f>
        <v>-4.000992525674011E-2</v>
      </c>
      <c r="D114" s="111">
        <f>Sensitivities!O29</f>
        <v>4.4861147683769212E-2</v>
      </c>
      <c r="E114" s="115"/>
    </row>
  </sheetData>
  <sortState xmlns:xlrd2="http://schemas.microsoft.com/office/spreadsheetml/2017/richdata2" ref="I42:M47">
    <sortCondition ref="M42:M47"/>
  </sortState>
  <mergeCells count="2">
    <mergeCell ref="I42:M42"/>
    <mergeCell ref="I2:M2"/>
  </mergeCell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E55B-5EBA-8D49-A230-0F82E7E70AA1}">
  <dimension ref="B2:AO80"/>
  <sheetViews>
    <sheetView topLeftCell="A21" zoomScaleNormal="50" workbookViewId="0">
      <selection activeCell="L73" sqref="L73"/>
    </sheetView>
  </sheetViews>
  <sheetFormatPr baseColWidth="10" defaultRowHeight="16" x14ac:dyDescent="0.2"/>
  <cols>
    <col min="1" max="1" width="10.83203125" style="2"/>
    <col min="2" max="2" width="24.5" style="2" bestFit="1" customWidth="1"/>
    <col min="3" max="3" width="17.6640625" style="2" bestFit="1" customWidth="1"/>
    <col min="4" max="4" width="20.83203125" style="2" bestFit="1" customWidth="1"/>
    <col min="5" max="5" width="18" style="2" bestFit="1" customWidth="1"/>
    <col min="6" max="6" width="21" style="2" bestFit="1" customWidth="1"/>
    <col min="7" max="8" width="10.83203125" style="2"/>
    <col min="9" max="9" width="34" style="2" customWidth="1"/>
    <col min="10" max="11" width="17.33203125" style="2" bestFit="1" customWidth="1"/>
    <col min="12" max="13" width="16" style="2" bestFit="1" customWidth="1"/>
    <col min="14" max="36" width="10.83203125" style="2"/>
    <col min="37" max="37" width="22" style="2" bestFit="1" customWidth="1"/>
    <col min="38" max="16384" width="10.83203125" style="2"/>
  </cols>
  <sheetData>
    <row r="2" spans="2:13" x14ac:dyDescent="0.2">
      <c r="B2" s="205" t="s">
        <v>782</v>
      </c>
      <c r="I2" s="34" t="s">
        <v>285</v>
      </c>
    </row>
    <row r="4" spans="2:13" ht="17" thickBot="1" x14ac:dyDescent="0.25">
      <c r="B4" s="39"/>
      <c r="C4" s="17" t="s">
        <v>349</v>
      </c>
      <c r="D4" s="17" t="s">
        <v>350</v>
      </c>
      <c r="E4" s="17" t="s">
        <v>351</v>
      </c>
      <c r="F4" s="17" t="s">
        <v>352</v>
      </c>
      <c r="I4" s="39"/>
      <c r="J4" s="17" t="s">
        <v>335</v>
      </c>
      <c r="K4" s="17" t="s">
        <v>336</v>
      </c>
      <c r="L4" s="17" t="s">
        <v>337</v>
      </c>
      <c r="M4" s="17" t="s">
        <v>338</v>
      </c>
    </row>
    <row r="5" spans="2:13" ht="17" x14ac:dyDescent="0.2">
      <c r="B5" s="35" t="s">
        <v>753</v>
      </c>
      <c r="C5" s="40">
        <f>'Scenario Design'!D15</f>
        <v>69.270809999999997</v>
      </c>
      <c r="D5" s="4">
        <f>'Scenario Design'!L15</f>
        <v>69.270809999999997</v>
      </c>
      <c r="E5" s="4">
        <f>'Scenario Design'!D26</f>
        <v>55.666930000000001</v>
      </c>
      <c r="F5" s="4">
        <f>'Scenario Design'!L26</f>
        <v>55.666930000000001</v>
      </c>
      <c r="I5" s="73" t="s">
        <v>760</v>
      </c>
      <c r="J5" s="98">
        <f>'Scenario Design'!C39</f>
        <v>1.46633746897074</v>
      </c>
      <c r="K5" s="98">
        <f>'Scenario Design'!D39</f>
        <v>1.52380989539295</v>
      </c>
      <c r="L5" s="98">
        <f>'Scenario Design'!E39</f>
        <v>1.03841019292563</v>
      </c>
      <c r="M5" s="98">
        <f>'Scenario Design'!F39</f>
        <v>1.04128292612837</v>
      </c>
    </row>
    <row r="6" spans="2:13" ht="17" x14ac:dyDescent="0.2">
      <c r="B6" s="35" t="s">
        <v>754</v>
      </c>
      <c r="C6" s="40">
        <f>'Scenario Design'!D16</f>
        <v>162.75029000000001</v>
      </c>
      <c r="D6" s="4">
        <f>'Scenario Design'!L16</f>
        <v>205.38914</v>
      </c>
      <c r="E6" s="4">
        <f>'Scenario Design'!D27</f>
        <v>100.45563</v>
      </c>
      <c r="F6" s="4">
        <f>'Scenario Design'!L27</f>
        <v>101.17819</v>
      </c>
      <c r="I6" s="76" t="s">
        <v>761</v>
      </c>
      <c r="J6" s="78">
        <f>'Scenario Design'!C40</f>
        <v>951209918.33000004</v>
      </c>
      <c r="K6" s="78">
        <f>'Scenario Design'!D40</f>
        <v>1227719260.04</v>
      </c>
      <c r="L6" s="78">
        <f>'Scenario Design'!E40</f>
        <v>519489924.93000001</v>
      </c>
      <c r="M6" s="78">
        <f>'Scenario Design'!F40</f>
        <v>523716820.98000002</v>
      </c>
    </row>
    <row r="7" spans="2:13" ht="34" x14ac:dyDescent="0.2">
      <c r="B7" s="59" t="s">
        <v>755</v>
      </c>
      <c r="C7" s="40">
        <f>'Scenario Design'!D17</f>
        <v>96.664490000000001</v>
      </c>
      <c r="D7" s="4">
        <f>'Scenario Design'!L17</f>
        <v>127.19889000000001</v>
      </c>
      <c r="E7" s="4">
        <f>'Scenario Design'!D28</f>
        <v>46.044330000000002</v>
      </c>
      <c r="F7" s="4">
        <f>'Scenario Design'!L28</f>
        <v>46.537909999999997</v>
      </c>
      <c r="I7" s="73" t="s">
        <v>767</v>
      </c>
      <c r="J7" s="82">
        <f>'Scenario Design'!C52</f>
        <v>1.0171330205579501</v>
      </c>
      <c r="K7" s="82">
        <f>'Scenario Design'!D52</f>
        <v>1.1621351313369099</v>
      </c>
      <c r="L7" s="82">
        <f>'Scenario Design'!E52</f>
        <v>0.38670465808171001</v>
      </c>
      <c r="M7" s="82">
        <f>'Scenario Design'!F52</f>
        <v>0.39119999169711001</v>
      </c>
    </row>
    <row r="8" spans="2:13" ht="17" x14ac:dyDescent="0.2">
      <c r="B8" s="35" t="s">
        <v>756</v>
      </c>
      <c r="C8" s="40">
        <f>'Scenario Design'!D18</f>
        <v>117.81555</v>
      </c>
      <c r="D8" s="4">
        <f>'Scenario Design'!L18</f>
        <v>160.45441</v>
      </c>
      <c r="E8" s="4">
        <f>'Scenario Design'!D29</f>
        <v>42.398229999999998</v>
      </c>
      <c r="F8" s="4">
        <f>'Scenario Design'!L29</f>
        <v>43.12079</v>
      </c>
      <c r="I8" s="76" t="s">
        <v>768</v>
      </c>
      <c r="J8" s="78">
        <f>'Scenario Design'!C53</f>
        <v>863411717.17999995</v>
      </c>
      <c r="K8" s="78">
        <f>'Scenario Design'!D53</f>
        <v>1139921058.9000001</v>
      </c>
      <c r="L8" s="78">
        <f>'Scenario Design'!E53</f>
        <v>458367839.02999997</v>
      </c>
      <c r="M8" s="78">
        <f>'Scenario Design'!F53</f>
        <v>461664817.94999999</v>
      </c>
    </row>
    <row r="9" spans="2:13" x14ac:dyDescent="0.2">
      <c r="B9" s="35" t="s">
        <v>757</v>
      </c>
      <c r="C9" s="40">
        <f>'Scenario Design'!D19</f>
        <v>131.12665999999999</v>
      </c>
      <c r="D9" s="4">
        <f>'Scenario Design'!L19</f>
        <v>173.76551000000001</v>
      </c>
      <c r="E9" s="4">
        <f>'Scenario Design'!D30</f>
        <v>69.052940000000007</v>
      </c>
      <c r="F9" s="4">
        <f>'Scenario Design'!L30</f>
        <v>69.775499999999994</v>
      </c>
    </row>
    <row r="10" spans="2:13" x14ac:dyDescent="0.2">
      <c r="B10" s="35" t="s">
        <v>758</v>
      </c>
      <c r="C10" s="40">
        <f>'Scenario Design'!D20</f>
        <v>51.729750000000003</v>
      </c>
      <c r="D10" s="4">
        <f>'Scenario Design'!L20</f>
        <v>82.264150000000001</v>
      </c>
      <c r="E10" s="4">
        <f>'Scenario Design'!D31</f>
        <v>-12.013059999999999</v>
      </c>
      <c r="F10" s="4">
        <f>'Scenario Design'!L31</f>
        <v>-11.519489999999999</v>
      </c>
    </row>
    <row r="11" spans="2:13" ht="17" thickBot="1" x14ac:dyDescent="0.25">
      <c r="B11" s="36" t="s">
        <v>759</v>
      </c>
      <c r="C11" s="40">
        <f>'Scenario Design'!D21</f>
        <v>86.191919999999996</v>
      </c>
      <c r="D11" s="4">
        <f>'Scenario Design'!L21</f>
        <v>128.83078</v>
      </c>
      <c r="E11" s="4">
        <f>'Scenario Design'!D32</f>
        <v>17.59374</v>
      </c>
      <c r="F11" s="4">
        <f>'Scenario Design'!L32</f>
        <v>18.18412</v>
      </c>
    </row>
    <row r="26" spans="9:13" x14ac:dyDescent="0.2">
      <c r="I26" s="34" t="s">
        <v>195</v>
      </c>
    </row>
    <row r="28" spans="9:13" ht="17" thickBot="1" x14ac:dyDescent="0.25">
      <c r="I28" s="39"/>
      <c r="J28" s="17" t="s">
        <v>335</v>
      </c>
      <c r="K28" s="17" t="s">
        <v>336</v>
      </c>
      <c r="L28" s="17" t="s">
        <v>337</v>
      </c>
      <c r="M28" s="17" t="s">
        <v>338</v>
      </c>
    </row>
    <row r="29" spans="9:13" ht="34" x14ac:dyDescent="0.2">
      <c r="I29" s="74" t="s">
        <v>763</v>
      </c>
      <c r="J29" s="99">
        <f>'Scenario Design'!C42</f>
        <v>217.40177101642999</v>
      </c>
      <c r="K29" s="99">
        <f>'Scenario Design'!D42</f>
        <v>270.16664975503102</v>
      </c>
      <c r="L29" s="99">
        <f>'Scenario Design'!E42</f>
        <v>99.906883415994798</v>
      </c>
      <c r="M29" s="99">
        <f>'Scenario Design'!F42</f>
        <v>100.56393660449</v>
      </c>
    </row>
    <row r="30" spans="9:13" ht="17" x14ac:dyDescent="0.2">
      <c r="I30" s="76" t="s">
        <v>764</v>
      </c>
      <c r="J30" s="81">
        <f>'Scenario Design'!C43</f>
        <v>853837675.97000003</v>
      </c>
      <c r="K30" s="81">
        <f>'Scenario Design'!D43</f>
        <v>1061069849.03</v>
      </c>
      <c r="L30" s="81">
        <f>'Scenario Design'!E43</f>
        <v>510537741.23000002</v>
      </c>
      <c r="M30" s="81">
        <f>'Scenario Design'!F43</f>
        <v>513895372.24000001</v>
      </c>
    </row>
    <row r="31" spans="9:13" ht="51" x14ac:dyDescent="0.2">
      <c r="I31" s="74" t="s">
        <v>770</v>
      </c>
      <c r="J31" s="80">
        <f>'Scenario Design'!C55</f>
        <v>111.51923042714199</v>
      </c>
      <c r="K31" s="80">
        <f>'Scenario Design'!D55</f>
        <v>146.74594484271699</v>
      </c>
      <c r="L31" s="80">
        <f>'Scenario Design'!E55</f>
        <v>41.113421565565901</v>
      </c>
      <c r="M31" s="80">
        <f>'Scenario Design'!F55</f>
        <v>41.554136818471001</v>
      </c>
    </row>
    <row r="32" spans="9:13" ht="24" customHeight="1" x14ac:dyDescent="0.2">
      <c r="I32" s="76" t="s">
        <v>771</v>
      </c>
      <c r="J32" s="81">
        <f>'Scenario Design'!C56</f>
        <v>762336696.39999998</v>
      </c>
      <c r="K32" s="81">
        <f>'Scenario Design'!D56</f>
        <v>979184731.04999995</v>
      </c>
      <c r="L32" s="81">
        <f>'Scenario Design'!E56</f>
        <v>460232313.66000003</v>
      </c>
      <c r="M32" s="81">
        <f>'Scenario Design'!F56</f>
        <v>463823997.83999997</v>
      </c>
    </row>
    <row r="33" spans="9:13" ht="73" customHeight="1" x14ac:dyDescent="0.2">
      <c r="I33" s="74" t="s">
        <v>773</v>
      </c>
      <c r="J33" s="80">
        <f>'Scenario Design'!C58</f>
        <v>180.91843984507202</v>
      </c>
      <c r="K33" s="80">
        <f>'Scenario Design'!D58</f>
        <v>233.68331858367199</v>
      </c>
      <c r="L33" s="80">
        <f>'Scenario Design'!E58</f>
        <v>71.867124133656205</v>
      </c>
      <c r="M33" s="80">
        <f>'Scenario Design'!F58</f>
        <v>72.5241773221519</v>
      </c>
    </row>
    <row r="34" spans="9:13" ht="17" x14ac:dyDescent="0.2">
      <c r="I34" s="76" t="s">
        <v>774</v>
      </c>
      <c r="J34" s="78">
        <f>'Scenario Design'!C59</f>
        <v>853837675.97000003</v>
      </c>
      <c r="K34" s="78">
        <f>'Scenario Design'!D59</f>
        <v>1061069849.03</v>
      </c>
      <c r="L34" s="78">
        <f>'Scenario Design'!E59</f>
        <v>510537741.23000002</v>
      </c>
      <c r="M34" s="78">
        <f>'Scenario Design'!F59</f>
        <v>513895372.24000001</v>
      </c>
    </row>
    <row r="53" spans="9:24" x14ac:dyDescent="0.2">
      <c r="I53" s="34" t="s">
        <v>356</v>
      </c>
    </row>
    <row r="55" spans="9:24" ht="17" thickBot="1" x14ac:dyDescent="0.25">
      <c r="I55" s="39"/>
      <c r="J55" s="17" t="s">
        <v>335</v>
      </c>
      <c r="K55" s="17" t="s">
        <v>336</v>
      </c>
      <c r="L55" s="17" t="s">
        <v>337</v>
      </c>
      <c r="M55" s="17" t="s">
        <v>338</v>
      </c>
      <c r="V55" s="115"/>
      <c r="W55" s="115"/>
      <c r="X55" s="115"/>
    </row>
    <row r="56" spans="9:24" ht="17" x14ac:dyDescent="0.2">
      <c r="I56" s="74" t="s">
        <v>765</v>
      </c>
      <c r="J56" s="107">
        <f>'Scenario Design'!C44</f>
        <v>178.76802696166999</v>
      </c>
      <c r="K56" s="107">
        <f>'Scenario Design'!D44</f>
        <v>222.15623498256301</v>
      </c>
      <c r="L56" s="107">
        <f>'Scenario Design'!E44</f>
        <v>109.018147364512</v>
      </c>
      <c r="M56" s="107">
        <f>'Scenario Design'!F44</f>
        <v>109.74123531607199</v>
      </c>
      <c r="V56" s="115"/>
      <c r="W56" s="115"/>
      <c r="X56" s="115"/>
    </row>
    <row r="57" spans="9:24" ht="18" thickBot="1" x14ac:dyDescent="0.25">
      <c r="I57" s="77" t="s">
        <v>766</v>
      </c>
      <c r="J57" s="79">
        <f>'Scenario Design'!C45</f>
        <v>853837675.97000003</v>
      </c>
      <c r="K57" s="79">
        <f>'Scenario Design'!D45</f>
        <v>1061069849.03</v>
      </c>
      <c r="L57" s="79">
        <f>'Scenario Design'!E45</f>
        <v>520696028.06999999</v>
      </c>
      <c r="M57" s="79">
        <f>'Scenario Design'!F45</f>
        <v>524149664.31</v>
      </c>
      <c r="V57" s="115"/>
      <c r="W57" s="115"/>
      <c r="X57" s="115"/>
    </row>
    <row r="58" spans="9:24" ht="34" x14ac:dyDescent="0.2">
      <c r="I58" s="74" t="s">
        <v>775</v>
      </c>
      <c r="J58" s="108">
        <f>'Scenario Design'!C60</f>
        <v>136.14034056167</v>
      </c>
      <c r="K58" s="108">
        <f>'Scenario Design'!D60</f>
        <v>179.52854858256299</v>
      </c>
      <c r="L58" s="108">
        <f>'Scenario Design'!E60</f>
        <v>51.548551194906302</v>
      </c>
      <c r="M58" s="108">
        <f>'Scenario Design'!F60</f>
        <v>52.271639146466697</v>
      </c>
    </row>
    <row r="59" spans="9:24" ht="18" thickBot="1" x14ac:dyDescent="0.25">
      <c r="I59" s="77" t="s">
        <v>776</v>
      </c>
      <c r="J59" s="79">
        <f>'Scenario Design'!C61</f>
        <v>853837675.97000003</v>
      </c>
      <c r="K59" s="79">
        <f>'Scenario Design'!D61</f>
        <v>1061069849.03</v>
      </c>
      <c r="L59" s="79">
        <f>'Scenario Design'!E61</f>
        <v>511117309.73000002</v>
      </c>
      <c r="M59" s="79">
        <f>'Scenario Design'!F61</f>
        <v>514570945.95999998</v>
      </c>
    </row>
    <row r="63" spans="9:24" ht="17" thickBot="1" x14ac:dyDescent="0.25">
      <c r="I63" s="39"/>
      <c r="J63" s="203" t="s">
        <v>335</v>
      </c>
      <c r="K63" s="17" t="s">
        <v>336</v>
      </c>
      <c r="L63" s="17" t="s">
        <v>337</v>
      </c>
      <c r="M63" s="17" t="s">
        <v>338</v>
      </c>
    </row>
    <row r="64" spans="9:24" ht="17" x14ac:dyDescent="0.2">
      <c r="I64" s="204" t="s">
        <v>760</v>
      </c>
      <c r="J64" s="201">
        <f>'Scenario Design'!C39</f>
        <v>1.46633746897074</v>
      </c>
      <c r="K64" s="201">
        <f>'Scenario Design'!D39</f>
        <v>1.52380989539295</v>
      </c>
      <c r="L64" s="201">
        <f>'Scenario Design'!E39</f>
        <v>1.03841019292563</v>
      </c>
      <c r="M64" s="201">
        <f>'Scenario Design'!F39</f>
        <v>1.04128292612837</v>
      </c>
      <c r="N64" s="201"/>
    </row>
    <row r="65" spans="9:41" ht="17" x14ac:dyDescent="0.2">
      <c r="I65" s="76" t="s">
        <v>761</v>
      </c>
      <c r="J65" s="56">
        <f>'Scenario Design'!C40</f>
        <v>951209918.33000004</v>
      </c>
      <c r="K65" s="56">
        <f>'Scenario Design'!D40</f>
        <v>1227719260.04</v>
      </c>
      <c r="L65" s="56">
        <f>'Scenario Design'!E40</f>
        <v>519489924.93000001</v>
      </c>
      <c r="M65" s="56">
        <f>'Scenario Design'!F40</f>
        <v>523716820.98000002</v>
      </c>
      <c r="N65" s="78"/>
    </row>
    <row r="66" spans="9:41" ht="34" x14ac:dyDescent="0.2">
      <c r="I66" s="74" t="s">
        <v>777</v>
      </c>
      <c r="J66" s="99">
        <f>'Scenario Design'!C42</f>
        <v>217.40177101642999</v>
      </c>
      <c r="K66" s="99">
        <f>'Scenario Design'!D42</f>
        <v>270.16664975503102</v>
      </c>
      <c r="L66" s="99">
        <f>'Scenario Design'!E42</f>
        <v>99.906883415994798</v>
      </c>
      <c r="M66" s="99">
        <f>'Scenario Design'!F42</f>
        <v>100.56393660449</v>
      </c>
    </row>
    <row r="67" spans="9:41" ht="17" x14ac:dyDescent="0.2">
      <c r="I67" s="76" t="s">
        <v>764</v>
      </c>
      <c r="J67" s="56">
        <f>'Scenario Design'!C43</f>
        <v>853837675.97000003</v>
      </c>
      <c r="K67" s="56">
        <f>'Scenario Design'!D43</f>
        <v>1061069849.03</v>
      </c>
      <c r="L67" s="56">
        <f>'Scenario Design'!E43</f>
        <v>510537741.23000002</v>
      </c>
      <c r="M67" s="56">
        <f>'Scenario Design'!F43</f>
        <v>513895372.24000001</v>
      </c>
    </row>
    <row r="68" spans="9:41" ht="17" x14ac:dyDescent="0.2">
      <c r="I68" s="74" t="s">
        <v>765</v>
      </c>
      <c r="J68" s="132">
        <f>'Scenario Design'!C44</f>
        <v>178.76802696166999</v>
      </c>
      <c r="K68" s="132">
        <f>'Scenario Design'!D44</f>
        <v>222.15623498256301</v>
      </c>
      <c r="L68" s="132">
        <f>'Scenario Design'!E44</f>
        <v>109.018147364512</v>
      </c>
      <c r="M68" s="132">
        <f>'Scenario Design'!F44</f>
        <v>109.74123531607199</v>
      </c>
    </row>
    <row r="69" spans="9:41" ht="17" x14ac:dyDescent="0.2">
      <c r="I69" s="76" t="s">
        <v>766</v>
      </c>
      <c r="J69" s="44">
        <f>'Scenario Design'!C45</f>
        <v>853837675.97000003</v>
      </c>
      <c r="K69" s="44">
        <f>'Scenario Design'!D45</f>
        <v>1061069849.03</v>
      </c>
      <c r="L69" s="44">
        <f>'Scenario Design'!E45</f>
        <v>520696028.06999999</v>
      </c>
      <c r="M69" s="44">
        <f>'Scenario Design'!F45</f>
        <v>524149664.31</v>
      </c>
    </row>
    <row r="70" spans="9:41" ht="17" x14ac:dyDescent="0.2">
      <c r="I70" s="73" t="s">
        <v>778</v>
      </c>
      <c r="J70" s="202">
        <f>'Scenario Design'!C52</f>
        <v>1.0171330205579501</v>
      </c>
      <c r="K70" s="202">
        <f>'Scenario Design'!D52</f>
        <v>1.1621351313369099</v>
      </c>
      <c r="L70" s="202">
        <f>'Scenario Design'!E52</f>
        <v>0.38670465808171001</v>
      </c>
      <c r="M70" s="202">
        <f>'Scenario Design'!F52</f>
        <v>0.39119999169711001</v>
      </c>
    </row>
    <row r="71" spans="9:41" ht="17" x14ac:dyDescent="0.2">
      <c r="I71" s="76" t="s">
        <v>768</v>
      </c>
      <c r="J71" s="44">
        <f>'Scenario Design'!C53</f>
        <v>863411717.17999995</v>
      </c>
      <c r="K71" s="44">
        <f>'Scenario Design'!D53</f>
        <v>1139921058.9000001</v>
      </c>
      <c r="L71" s="44">
        <f>'Scenario Design'!E53</f>
        <v>458367839.02999997</v>
      </c>
      <c r="M71" s="44">
        <f>'Scenario Design'!F53</f>
        <v>461664817.94999999</v>
      </c>
    </row>
    <row r="72" spans="9:41" ht="34" x14ac:dyDescent="0.2">
      <c r="I72" s="74" t="s">
        <v>779</v>
      </c>
      <c r="J72" s="132">
        <f>'Scenario Design'!C55</f>
        <v>111.51923042714199</v>
      </c>
      <c r="K72" s="132">
        <f>'Scenario Design'!D55</f>
        <v>146.74594484271699</v>
      </c>
      <c r="L72" s="132">
        <f>'Scenario Design'!E55</f>
        <v>41.113421565565901</v>
      </c>
      <c r="M72" s="132">
        <f>'Scenario Design'!F55</f>
        <v>41.554136818471001</v>
      </c>
    </row>
    <row r="73" spans="9:41" ht="17" x14ac:dyDescent="0.2">
      <c r="I73" s="76" t="s">
        <v>771</v>
      </c>
      <c r="J73" s="44">
        <f>'Scenario Design'!C56</f>
        <v>762336696.39999998</v>
      </c>
      <c r="K73" s="44">
        <f>'Scenario Design'!D56</f>
        <v>979184731.04999995</v>
      </c>
      <c r="L73" s="44">
        <f>'Scenario Design'!E56</f>
        <v>460232313.66000003</v>
      </c>
      <c r="M73" s="44">
        <f>'Scenario Design'!F56</f>
        <v>463823997.83999997</v>
      </c>
    </row>
    <row r="74" spans="9:41" ht="34" x14ac:dyDescent="0.2">
      <c r="I74" s="74" t="s">
        <v>780</v>
      </c>
      <c r="J74" s="132">
        <f>'Scenario Design'!C58</f>
        <v>180.91843984507202</v>
      </c>
      <c r="K74" s="132">
        <f>'Scenario Design'!D58</f>
        <v>233.68331858367199</v>
      </c>
      <c r="L74" s="132">
        <f>'Scenario Design'!E58</f>
        <v>71.867124133656205</v>
      </c>
      <c r="M74" s="132">
        <f>'Scenario Design'!F58</f>
        <v>72.5241773221519</v>
      </c>
    </row>
    <row r="75" spans="9:41" ht="17" x14ac:dyDescent="0.2">
      <c r="I75" s="76" t="s">
        <v>774</v>
      </c>
      <c r="J75" s="44">
        <f>'Scenario Design'!C59</f>
        <v>853837675.97000003</v>
      </c>
      <c r="K75" s="44">
        <f>'Scenario Design'!D59</f>
        <v>1061069849.03</v>
      </c>
      <c r="L75" s="44">
        <f>'Scenario Design'!E59</f>
        <v>510537741.23000002</v>
      </c>
      <c r="M75" s="44">
        <f>'Scenario Design'!F59</f>
        <v>513895372.24000001</v>
      </c>
    </row>
    <row r="76" spans="9:41" ht="17" x14ac:dyDescent="0.2">
      <c r="I76" s="74" t="s">
        <v>781</v>
      </c>
      <c r="J76" s="132">
        <f>'Scenario Design'!C60</f>
        <v>136.14034056167</v>
      </c>
      <c r="K76" s="132">
        <f>'Scenario Design'!D60</f>
        <v>179.52854858256299</v>
      </c>
      <c r="L76" s="132">
        <f>'Scenario Design'!E60</f>
        <v>51.548551194906302</v>
      </c>
      <c r="M76" s="132">
        <f>'Scenario Design'!F60</f>
        <v>52.271639146466697</v>
      </c>
    </row>
    <row r="77" spans="9:41" ht="18" thickBot="1" x14ac:dyDescent="0.25">
      <c r="I77" s="77" t="s">
        <v>776</v>
      </c>
      <c r="J77" s="44">
        <f>'Scenario Design'!C61</f>
        <v>853837675.97000003</v>
      </c>
      <c r="K77" s="44">
        <f>'Scenario Design'!D61</f>
        <v>1061069849.03</v>
      </c>
      <c r="L77" s="44">
        <f>'Scenario Design'!E61</f>
        <v>511117309.73000002</v>
      </c>
      <c r="M77" s="44">
        <f>'Scenario Design'!F61</f>
        <v>514570945.95999998</v>
      </c>
      <c r="AM77" s="115"/>
      <c r="AN77" s="115"/>
      <c r="AO77" s="115"/>
    </row>
    <row r="78" spans="9:41" x14ac:dyDescent="0.2">
      <c r="AM78" s="115"/>
      <c r="AN78" s="115"/>
      <c r="AO78" s="115"/>
    </row>
    <row r="79" spans="9:41" x14ac:dyDescent="0.2">
      <c r="AM79" s="115"/>
      <c r="AN79" s="115"/>
      <c r="AO79" s="115"/>
    </row>
    <row r="80" spans="9:41" x14ac:dyDescent="0.2">
      <c r="AM80" s="115"/>
      <c r="AN80" s="115"/>
      <c r="AO80" s="11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9A4E-FF2F-5F4B-9A1E-4BDEDB6636F7}">
  <dimension ref="B3:CT45"/>
  <sheetViews>
    <sheetView topLeftCell="A6" zoomScale="81" workbookViewId="0">
      <selection activeCell="C24" sqref="C24"/>
    </sheetView>
  </sheetViews>
  <sheetFormatPr baseColWidth="10" defaultRowHeight="16" x14ac:dyDescent="0.2"/>
  <cols>
    <col min="1" max="1" width="10.83203125" style="2"/>
    <col min="2" max="2" width="31.33203125" style="2" bestFit="1" customWidth="1"/>
    <col min="3" max="4" width="28.5" style="2" bestFit="1" customWidth="1"/>
    <col min="5" max="5" width="17.5" style="2" customWidth="1"/>
    <col min="6" max="6" width="36" style="2" bestFit="1" customWidth="1"/>
    <col min="7" max="7" width="10.83203125" style="2"/>
    <col min="8" max="8" width="25.6640625" style="2" bestFit="1" customWidth="1"/>
    <col min="9" max="16384" width="10.83203125" style="2"/>
  </cols>
  <sheetData>
    <row r="3" spans="2:8" ht="17" thickBot="1" x14ac:dyDescent="0.25">
      <c r="B3" s="104"/>
      <c r="C3" s="104" t="s">
        <v>706</v>
      </c>
      <c r="D3" s="104" t="s">
        <v>707</v>
      </c>
      <c r="F3" s="104"/>
      <c r="G3" s="104"/>
      <c r="H3" s="104" t="s">
        <v>729</v>
      </c>
    </row>
    <row r="4" spans="2:8" x14ac:dyDescent="0.2">
      <c r="B4" s="2" t="s">
        <v>72</v>
      </c>
      <c r="C4" s="41">
        <v>605683.52</v>
      </c>
      <c r="D4" s="41">
        <v>586488.13</v>
      </c>
      <c r="F4" s="2" t="s">
        <v>726</v>
      </c>
      <c r="G4" s="6">
        <f>C14+C25</f>
        <v>147.03541618474824</v>
      </c>
      <c r="H4" s="133">
        <f>(G4-C25)/C25</f>
        <v>0.798444367879793</v>
      </c>
    </row>
    <row r="5" spans="2:8" x14ac:dyDescent="0.2">
      <c r="B5" s="2" t="s">
        <v>73</v>
      </c>
      <c r="C5" s="41">
        <v>601586.04</v>
      </c>
      <c r="D5" s="41">
        <v>582390.65</v>
      </c>
      <c r="F5" s="2" t="s">
        <v>727</v>
      </c>
      <c r="G5" s="6">
        <f>C15+C26</f>
        <v>147.87949647574544</v>
      </c>
      <c r="H5" s="133">
        <f>(G5-C26)/C26</f>
        <v>0.87186866591239898</v>
      </c>
    </row>
    <row r="7" spans="2:8" x14ac:dyDescent="0.2">
      <c r="B7" s="2" t="s">
        <v>708</v>
      </c>
      <c r="C7" s="4">
        <v>0.73699999999999999</v>
      </c>
      <c r="F7" s="2" t="s">
        <v>723</v>
      </c>
      <c r="G7" s="6">
        <f>C17+C25</f>
        <v>187.59506541947897</v>
      </c>
      <c r="H7" s="133">
        <f>(G7-C25)/C25</f>
        <v>1.2945443866516502</v>
      </c>
    </row>
    <row r="8" spans="2:8" x14ac:dyDescent="0.2">
      <c r="B8" s="2" t="s">
        <v>709</v>
      </c>
      <c r="C8" s="4">
        <f>'Input Parameters'!D8/'Cement Production'!C7</f>
        <v>1309467.4626865671</v>
      </c>
      <c r="F8" s="2" t="s">
        <v>724</v>
      </c>
      <c r="G8" s="6">
        <f>C18+C25</f>
        <v>206.55892334871862</v>
      </c>
      <c r="H8" s="133">
        <f>(G8-C25)/C25</f>
        <v>1.5264983224521278</v>
      </c>
    </row>
    <row r="9" spans="2:8" x14ac:dyDescent="0.2">
      <c r="F9" s="2" t="s">
        <v>725</v>
      </c>
      <c r="G9" s="6">
        <f>C19+C26</f>
        <v>167.12331103867484</v>
      </c>
      <c r="H9" s="133">
        <f>(G9-C26)/C26</f>
        <v>1.1154581719051004</v>
      </c>
    </row>
    <row r="10" spans="2:8" ht="17" thickBot="1" x14ac:dyDescent="0.25">
      <c r="B10" s="104"/>
      <c r="C10" s="104" t="s">
        <v>710</v>
      </c>
      <c r="D10" s="104" t="s">
        <v>711</v>
      </c>
    </row>
    <row r="11" spans="2:8" x14ac:dyDescent="0.2">
      <c r="B11" s="2" t="s">
        <v>72</v>
      </c>
      <c r="C11" s="224">
        <f>C4/C8</f>
        <v>0.46254186320700957</v>
      </c>
      <c r="D11" s="224">
        <f>D4/C8</f>
        <v>0.4478829346372093</v>
      </c>
    </row>
    <row r="12" spans="2:8" x14ac:dyDescent="0.2">
      <c r="B12" s="2" t="s">
        <v>73</v>
      </c>
      <c r="C12" s="224">
        <f>C5/C8</f>
        <v>0.45941274383844322</v>
      </c>
      <c r="D12" s="224">
        <f>D5/C8</f>
        <v>0.44475381526864294</v>
      </c>
    </row>
    <row r="14" spans="2:8" x14ac:dyDescent="0.2">
      <c r="B14" s="2" t="s">
        <v>715</v>
      </c>
      <c r="C14" s="6">
        <f>'Scenario Design'!C15*'Cement Production'!C12</f>
        <v>65.278416184748238</v>
      </c>
    </row>
    <row r="15" spans="2:8" ht="17" thickBot="1" x14ac:dyDescent="0.25">
      <c r="B15" s="2" t="s">
        <v>716</v>
      </c>
      <c r="C15" s="6">
        <f>'Scenario Design'!C26*'Cement Production'!C11</f>
        <v>68.878496475745422</v>
      </c>
      <c r="F15" s="104"/>
      <c r="G15" s="104"/>
      <c r="H15" s="104" t="s">
        <v>728</v>
      </c>
    </row>
    <row r="16" spans="2:8" x14ac:dyDescent="0.2">
      <c r="F16" s="2" t="s">
        <v>726</v>
      </c>
      <c r="G16" s="6">
        <f>C14+C25</f>
        <v>147.03541618474824</v>
      </c>
      <c r="H16" s="133">
        <f>(G16-C30)/C30</f>
        <v>0.23963304626193008</v>
      </c>
    </row>
    <row r="17" spans="2:8" x14ac:dyDescent="0.2">
      <c r="B17" s="2" t="s">
        <v>712</v>
      </c>
      <c r="C17" s="6">
        <f>'Scenario Design'!C16*'Cement Production'!D12</f>
        <v>105.83806541947897</v>
      </c>
      <c r="F17" s="2" t="s">
        <v>727</v>
      </c>
      <c r="G17" s="6">
        <f>C26+C15</f>
        <v>147.87949647574544</v>
      </c>
      <c r="H17" s="133">
        <f>(G17-C34)/C34</f>
        <v>-0.17783152017342707</v>
      </c>
    </row>
    <row r="18" spans="2:8" x14ac:dyDescent="0.2">
      <c r="B18" s="2" t="s">
        <v>713</v>
      </c>
      <c r="C18" s="6">
        <f>'Scenario Design'!K16*'Cement Production'!D12</f>
        <v>124.80192334871862</v>
      </c>
    </row>
    <row r="19" spans="2:8" x14ac:dyDescent="0.2">
      <c r="B19" s="2" t="s">
        <v>714</v>
      </c>
      <c r="C19" s="6">
        <f>'Scenario Design'!C27*'Cement Production'!D11</f>
        <v>88.122311038674837</v>
      </c>
      <c r="F19" s="2" t="s">
        <v>723</v>
      </c>
      <c r="G19" s="6">
        <f>C25+C17</f>
        <v>187.59506541947897</v>
      </c>
      <c r="H19" s="133">
        <f>(G19-C30)/C30</f>
        <v>0.58158522921756262</v>
      </c>
    </row>
    <row r="20" spans="2:8" x14ac:dyDescent="0.2">
      <c r="F20" s="2" t="s">
        <v>724</v>
      </c>
      <c r="G20" s="6">
        <f>C25+C18</f>
        <v>206.55892334871862</v>
      </c>
      <c r="H20" s="133">
        <f>(G20-C30)/C30</f>
        <v>0.74146660734869263</v>
      </c>
    </row>
    <row r="21" spans="2:8" x14ac:dyDescent="0.2">
      <c r="B21" s="2" t="s">
        <v>717</v>
      </c>
      <c r="C21" s="2">
        <v>52</v>
      </c>
      <c r="F21" s="2" t="s">
        <v>725</v>
      </c>
      <c r="G21" s="6">
        <f>C19+C26</f>
        <v>167.12331103867484</v>
      </c>
      <c r="H21" s="133">
        <f>(G21-C34)/C34</f>
        <v>-7.0841314348219026E-2</v>
      </c>
    </row>
    <row r="22" spans="2:8" x14ac:dyDescent="0.2">
      <c r="B22" s="2" t="s">
        <v>718</v>
      </c>
      <c r="C22" s="8">
        <f>C45</f>
        <v>1.5722500000000001</v>
      </c>
      <c r="F22" s="2" t="s">
        <v>736</v>
      </c>
      <c r="G22" s="6">
        <f>C19+C26</f>
        <v>167.12331103867484</v>
      </c>
      <c r="H22" s="133">
        <f>(G22-C30)/C30</f>
        <v>0.4089910073362456</v>
      </c>
    </row>
    <row r="23" spans="2:8" x14ac:dyDescent="0.2">
      <c r="B23" s="2" t="s">
        <v>719</v>
      </c>
      <c r="C23" s="8">
        <f>C44</f>
        <v>1.5192500000000002</v>
      </c>
    </row>
    <row r="25" spans="2:8" x14ac:dyDescent="0.2">
      <c r="B25" s="2" t="s">
        <v>720</v>
      </c>
      <c r="C25" s="2">
        <f>C21*C22</f>
        <v>81.757000000000005</v>
      </c>
    </row>
    <row r="26" spans="2:8" x14ac:dyDescent="0.2">
      <c r="B26" s="2" t="s">
        <v>752</v>
      </c>
      <c r="C26" s="2">
        <f>C21*C23</f>
        <v>79.001000000000005</v>
      </c>
    </row>
    <row r="28" spans="2:8" x14ac:dyDescent="0.2">
      <c r="B28" s="2" t="s">
        <v>732</v>
      </c>
      <c r="C28" s="2">
        <f>11181090000/1000</f>
        <v>11181090</v>
      </c>
    </row>
    <row r="29" spans="2:8" x14ac:dyDescent="0.2">
      <c r="B29" s="2" t="s">
        <v>733</v>
      </c>
      <c r="C29" s="2">
        <v>1326212000</v>
      </c>
    </row>
    <row r="30" spans="2:8" x14ac:dyDescent="0.2">
      <c r="B30" s="2" t="s">
        <v>721</v>
      </c>
      <c r="C30" s="2">
        <f>C29/C28</f>
        <v>118.61204945135044</v>
      </c>
    </row>
    <row r="32" spans="2:8" x14ac:dyDescent="0.2">
      <c r="B32" s="2" t="s">
        <v>734</v>
      </c>
      <c r="C32" s="2">
        <f>1990653633/1000</f>
        <v>1990653.6329999999</v>
      </c>
    </row>
    <row r="33" spans="2:98" x14ac:dyDescent="0.2">
      <c r="B33" s="2" t="s">
        <v>735</v>
      </c>
      <c r="C33" s="2">
        <v>358049310</v>
      </c>
    </row>
    <row r="34" spans="2:98" x14ac:dyDescent="0.2">
      <c r="B34" s="2" t="s">
        <v>722</v>
      </c>
      <c r="C34" s="2">
        <f>C33/C32</f>
        <v>179.8651980758724</v>
      </c>
    </row>
    <row r="37" spans="2:98" ht="18" x14ac:dyDescent="0.2">
      <c r="B37" s="232" t="s">
        <v>841</v>
      </c>
    </row>
    <row r="38" spans="2:98" x14ac:dyDescent="0.2">
      <c r="B38" s="225" t="s">
        <v>836</v>
      </c>
      <c r="C38" s="253" t="s">
        <v>788</v>
      </c>
      <c r="D38" s="253" t="s">
        <v>200</v>
      </c>
      <c r="E38" s="253" t="s">
        <v>789</v>
      </c>
      <c r="F38" s="253" t="s">
        <v>200</v>
      </c>
      <c r="G38" s="253" t="s">
        <v>790</v>
      </c>
      <c r="H38" s="253" t="s">
        <v>200</v>
      </c>
      <c r="I38" s="253" t="s">
        <v>791</v>
      </c>
      <c r="J38" s="253" t="s">
        <v>200</v>
      </c>
      <c r="K38" s="253" t="s">
        <v>792</v>
      </c>
      <c r="L38" s="253" t="s">
        <v>200</v>
      </c>
      <c r="M38" s="253" t="s">
        <v>793</v>
      </c>
      <c r="N38" s="253" t="s">
        <v>200</v>
      </c>
      <c r="O38" s="253" t="s">
        <v>794</v>
      </c>
      <c r="P38" s="253" t="s">
        <v>200</v>
      </c>
      <c r="Q38" s="253" t="s">
        <v>795</v>
      </c>
      <c r="R38" s="253" t="s">
        <v>200</v>
      </c>
      <c r="S38" s="253" t="s">
        <v>796</v>
      </c>
      <c r="T38" s="253" t="s">
        <v>200</v>
      </c>
      <c r="U38" s="253" t="s">
        <v>797</v>
      </c>
      <c r="V38" s="253" t="s">
        <v>200</v>
      </c>
      <c r="W38" s="253" t="s">
        <v>798</v>
      </c>
      <c r="X38" s="253" t="s">
        <v>200</v>
      </c>
      <c r="Y38" s="253" t="s">
        <v>799</v>
      </c>
      <c r="Z38" s="253" t="s">
        <v>200</v>
      </c>
      <c r="AA38" s="253" t="s">
        <v>800</v>
      </c>
      <c r="AB38" s="253" t="s">
        <v>200</v>
      </c>
      <c r="AC38" s="253" t="s">
        <v>801</v>
      </c>
      <c r="AD38" s="253" t="s">
        <v>200</v>
      </c>
      <c r="AE38" s="253" t="s">
        <v>802</v>
      </c>
      <c r="AF38" s="253" t="s">
        <v>200</v>
      </c>
      <c r="AG38" s="253" t="s">
        <v>803</v>
      </c>
      <c r="AH38" s="253" t="s">
        <v>200</v>
      </c>
      <c r="AI38" s="253" t="s">
        <v>804</v>
      </c>
      <c r="AJ38" s="253" t="s">
        <v>200</v>
      </c>
      <c r="AK38" s="253" t="s">
        <v>805</v>
      </c>
      <c r="AL38" s="253" t="s">
        <v>200</v>
      </c>
      <c r="AM38" s="253" t="s">
        <v>806</v>
      </c>
      <c r="AN38" s="253" t="s">
        <v>200</v>
      </c>
      <c r="AO38" s="253" t="s">
        <v>807</v>
      </c>
      <c r="AP38" s="253" t="s">
        <v>200</v>
      </c>
      <c r="AQ38" s="253" t="s">
        <v>808</v>
      </c>
      <c r="AR38" s="253" t="s">
        <v>200</v>
      </c>
      <c r="AS38" s="253" t="s">
        <v>809</v>
      </c>
      <c r="AT38" s="253" t="s">
        <v>200</v>
      </c>
      <c r="AU38" s="253" t="s">
        <v>810</v>
      </c>
      <c r="AV38" s="253" t="s">
        <v>200</v>
      </c>
      <c r="AW38" s="253" t="s">
        <v>811</v>
      </c>
      <c r="AX38" s="253" t="s">
        <v>200</v>
      </c>
      <c r="AY38" s="253" t="s">
        <v>812</v>
      </c>
      <c r="AZ38" s="253" t="s">
        <v>200</v>
      </c>
      <c r="BA38" s="253" t="s">
        <v>813</v>
      </c>
      <c r="BB38" s="253" t="s">
        <v>200</v>
      </c>
      <c r="BC38" s="253" t="s">
        <v>814</v>
      </c>
      <c r="BD38" s="253" t="s">
        <v>200</v>
      </c>
      <c r="BE38" s="253" t="s">
        <v>815</v>
      </c>
      <c r="BF38" s="253" t="s">
        <v>200</v>
      </c>
      <c r="BG38" s="253" t="s">
        <v>816</v>
      </c>
      <c r="BH38" s="253" t="s">
        <v>200</v>
      </c>
      <c r="BI38" s="253" t="s">
        <v>817</v>
      </c>
      <c r="BJ38" s="253" t="s">
        <v>200</v>
      </c>
      <c r="BK38" s="253" t="s">
        <v>818</v>
      </c>
      <c r="BL38" s="253" t="s">
        <v>200</v>
      </c>
      <c r="BM38" s="253" t="s">
        <v>819</v>
      </c>
      <c r="BN38" s="253" t="s">
        <v>200</v>
      </c>
      <c r="BO38" s="253" t="s">
        <v>820</v>
      </c>
      <c r="BP38" s="253" t="s">
        <v>200</v>
      </c>
      <c r="BQ38" s="253" t="s">
        <v>821</v>
      </c>
      <c r="BR38" s="253" t="s">
        <v>200</v>
      </c>
      <c r="BS38" s="253" t="s">
        <v>822</v>
      </c>
      <c r="BT38" s="253" t="s">
        <v>200</v>
      </c>
      <c r="BU38" s="253" t="s">
        <v>823</v>
      </c>
      <c r="BV38" s="253" t="s">
        <v>200</v>
      </c>
      <c r="BW38" s="253" t="s">
        <v>824</v>
      </c>
      <c r="BX38" s="253" t="s">
        <v>200</v>
      </c>
      <c r="BY38" s="253" t="s">
        <v>825</v>
      </c>
      <c r="BZ38" s="253" t="s">
        <v>200</v>
      </c>
      <c r="CA38" s="253" t="s">
        <v>826</v>
      </c>
      <c r="CB38" s="253" t="s">
        <v>200</v>
      </c>
      <c r="CC38" s="253" t="s">
        <v>827</v>
      </c>
      <c r="CD38" s="253" t="s">
        <v>200</v>
      </c>
      <c r="CE38" s="253" t="s">
        <v>828</v>
      </c>
      <c r="CF38" s="253" t="s">
        <v>200</v>
      </c>
      <c r="CG38" s="253" t="s">
        <v>829</v>
      </c>
      <c r="CH38" s="253" t="s">
        <v>200</v>
      </c>
      <c r="CI38" s="253" t="s">
        <v>830</v>
      </c>
      <c r="CJ38" s="253" t="s">
        <v>200</v>
      </c>
      <c r="CK38" s="253" t="s">
        <v>831</v>
      </c>
      <c r="CL38" s="253" t="s">
        <v>200</v>
      </c>
      <c r="CM38" s="253" t="s">
        <v>832</v>
      </c>
      <c r="CN38" s="253" t="s">
        <v>200</v>
      </c>
      <c r="CO38" s="253" t="s">
        <v>833</v>
      </c>
      <c r="CP38" s="253" t="s">
        <v>200</v>
      </c>
      <c r="CQ38" s="253" t="s">
        <v>834</v>
      </c>
      <c r="CR38" s="253" t="s">
        <v>200</v>
      </c>
      <c r="CS38" s="253" t="s">
        <v>835</v>
      </c>
      <c r="CT38" s="253" t="s">
        <v>200</v>
      </c>
    </row>
    <row r="39" spans="2:98" x14ac:dyDescent="0.2">
      <c r="B39" s="226" t="s">
        <v>837</v>
      </c>
      <c r="C39" s="227" t="s">
        <v>200</v>
      </c>
      <c r="D39" s="227" t="s">
        <v>200</v>
      </c>
      <c r="E39" s="227" t="s">
        <v>200</v>
      </c>
      <c r="F39" s="227" t="s">
        <v>200</v>
      </c>
      <c r="G39" s="227" t="s">
        <v>200</v>
      </c>
      <c r="H39" s="227" t="s">
        <v>200</v>
      </c>
      <c r="I39" s="227" t="s">
        <v>200</v>
      </c>
      <c r="J39" s="227" t="s">
        <v>200</v>
      </c>
      <c r="K39" s="227" t="s">
        <v>200</v>
      </c>
      <c r="L39" s="227" t="s">
        <v>200</v>
      </c>
      <c r="M39" s="227" t="s">
        <v>200</v>
      </c>
      <c r="N39" s="227" t="s">
        <v>200</v>
      </c>
      <c r="O39" s="227" t="s">
        <v>200</v>
      </c>
      <c r="P39" s="227" t="s">
        <v>200</v>
      </c>
      <c r="Q39" s="227" t="s">
        <v>200</v>
      </c>
      <c r="R39" s="227" t="s">
        <v>200</v>
      </c>
      <c r="S39" s="227" t="s">
        <v>200</v>
      </c>
      <c r="T39" s="227" t="s">
        <v>200</v>
      </c>
      <c r="U39" s="227" t="s">
        <v>200</v>
      </c>
      <c r="V39" s="227" t="s">
        <v>200</v>
      </c>
      <c r="W39" s="227" t="s">
        <v>200</v>
      </c>
      <c r="X39" s="227" t="s">
        <v>200</v>
      </c>
      <c r="Y39" s="227" t="s">
        <v>200</v>
      </c>
      <c r="Z39" s="227" t="s">
        <v>200</v>
      </c>
      <c r="AA39" s="227" t="s">
        <v>200</v>
      </c>
      <c r="AB39" s="227" t="s">
        <v>200</v>
      </c>
      <c r="AC39" s="227" t="s">
        <v>200</v>
      </c>
      <c r="AD39" s="227" t="s">
        <v>200</v>
      </c>
      <c r="AE39" s="227" t="s">
        <v>200</v>
      </c>
      <c r="AF39" s="227" t="s">
        <v>200</v>
      </c>
      <c r="AG39" s="227" t="s">
        <v>200</v>
      </c>
      <c r="AH39" s="227" t="s">
        <v>200</v>
      </c>
      <c r="AI39" s="227" t="s">
        <v>200</v>
      </c>
      <c r="AJ39" s="227" t="s">
        <v>200</v>
      </c>
      <c r="AK39" s="227" t="s">
        <v>200</v>
      </c>
      <c r="AL39" s="227" t="s">
        <v>200</v>
      </c>
      <c r="AM39" s="227" t="s">
        <v>200</v>
      </c>
      <c r="AN39" s="227" t="s">
        <v>200</v>
      </c>
      <c r="AO39" s="227" t="s">
        <v>200</v>
      </c>
      <c r="AP39" s="227" t="s">
        <v>200</v>
      </c>
      <c r="AQ39" s="227" t="s">
        <v>200</v>
      </c>
      <c r="AR39" s="227" t="s">
        <v>200</v>
      </c>
      <c r="AS39" s="227" t="s">
        <v>200</v>
      </c>
      <c r="AT39" s="227" t="s">
        <v>200</v>
      </c>
      <c r="AU39" s="227" t="s">
        <v>200</v>
      </c>
      <c r="AV39" s="227" t="s">
        <v>200</v>
      </c>
      <c r="AW39" s="227" t="s">
        <v>200</v>
      </c>
      <c r="AX39" s="227" t="s">
        <v>200</v>
      </c>
      <c r="AY39" s="227" t="s">
        <v>200</v>
      </c>
      <c r="AZ39" s="227" t="s">
        <v>200</v>
      </c>
      <c r="BA39" s="227" t="s">
        <v>200</v>
      </c>
      <c r="BB39" s="227" t="s">
        <v>200</v>
      </c>
      <c r="BC39" s="227" t="s">
        <v>200</v>
      </c>
      <c r="BD39" s="227" t="s">
        <v>200</v>
      </c>
      <c r="BE39" s="227" t="s">
        <v>200</v>
      </c>
      <c r="BF39" s="227" t="s">
        <v>200</v>
      </c>
      <c r="BG39" s="227" t="s">
        <v>200</v>
      </c>
      <c r="BH39" s="227" t="s">
        <v>200</v>
      </c>
      <c r="BI39" s="227" t="s">
        <v>200</v>
      </c>
      <c r="BJ39" s="227" t="s">
        <v>200</v>
      </c>
      <c r="BK39" s="227" t="s">
        <v>200</v>
      </c>
      <c r="BL39" s="227" t="s">
        <v>200</v>
      </c>
      <c r="BM39" s="227" t="s">
        <v>200</v>
      </c>
      <c r="BN39" s="227" t="s">
        <v>200</v>
      </c>
      <c r="BO39" s="227" t="s">
        <v>200</v>
      </c>
      <c r="BP39" s="227" t="s">
        <v>200</v>
      </c>
      <c r="BQ39" s="227" t="s">
        <v>200</v>
      </c>
      <c r="BR39" s="227" t="s">
        <v>200</v>
      </c>
      <c r="BS39" s="227" t="s">
        <v>200</v>
      </c>
      <c r="BT39" s="227" t="s">
        <v>200</v>
      </c>
      <c r="BU39" s="227" t="s">
        <v>200</v>
      </c>
      <c r="BV39" s="227" t="s">
        <v>200</v>
      </c>
      <c r="BW39" s="227" t="s">
        <v>200</v>
      </c>
      <c r="BX39" s="227" t="s">
        <v>200</v>
      </c>
      <c r="BY39" s="227" t="s">
        <v>200</v>
      </c>
      <c r="BZ39" s="227" t="s">
        <v>200</v>
      </c>
      <c r="CA39" s="227" t="s">
        <v>200</v>
      </c>
      <c r="CB39" s="227" t="s">
        <v>200</v>
      </c>
      <c r="CC39" s="227" t="s">
        <v>200</v>
      </c>
      <c r="CD39" s="227" t="s">
        <v>200</v>
      </c>
      <c r="CE39" s="227" t="s">
        <v>200</v>
      </c>
      <c r="CF39" s="227" t="s">
        <v>200</v>
      </c>
      <c r="CG39" s="227" t="s">
        <v>200</v>
      </c>
      <c r="CH39" s="227" t="s">
        <v>200</v>
      </c>
      <c r="CI39" s="227" t="s">
        <v>200</v>
      </c>
      <c r="CJ39" s="227" t="s">
        <v>200</v>
      </c>
      <c r="CK39" s="227" t="s">
        <v>200</v>
      </c>
      <c r="CL39" s="227" t="s">
        <v>200</v>
      </c>
      <c r="CM39" s="227" t="s">
        <v>200</v>
      </c>
      <c r="CN39" s="227" t="s">
        <v>200</v>
      </c>
      <c r="CO39" s="227" t="s">
        <v>200</v>
      </c>
      <c r="CP39" s="227" t="s">
        <v>200</v>
      </c>
      <c r="CQ39" s="227" t="s">
        <v>200</v>
      </c>
      <c r="CR39" s="227" t="s">
        <v>200</v>
      </c>
      <c r="CS39" s="227" t="s">
        <v>200</v>
      </c>
      <c r="CT39" s="227" t="s">
        <v>200</v>
      </c>
    </row>
    <row r="40" spans="2:98" x14ac:dyDescent="0.2">
      <c r="B40" s="228" t="s">
        <v>838</v>
      </c>
      <c r="C40" s="229">
        <v>99</v>
      </c>
      <c r="D40" s="230" t="s">
        <v>200</v>
      </c>
      <c r="E40" s="231">
        <v>99.9</v>
      </c>
      <c r="F40" s="230" t="s">
        <v>200</v>
      </c>
      <c r="G40" s="231">
        <v>99.5</v>
      </c>
      <c r="H40" s="230" t="s">
        <v>200</v>
      </c>
      <c r="I40" s="231">
        <v>99.5</v>
      </c>
      <c r="J40" s="230" t="s">
        <v>200</v>
      </c>
      <c r="K40" s="231">
        <v>99.6</v>
      </c>
      <c r="L40" s="230" t="s">
        <v>200</v>
      </c>
      <c r="M40" s="231">
        <v>99.8</v>
      </c>
      <c r="N40" s="230" t="s">
        <v>200</v>
      </c>
      <c r="O40" s="231">
        <v>99.7</v>
      </c>
      <c r="P40" s="230" t="s">
        <v>200</v>
      </c>
      <c r="Q40" s="231">
        <v>100.5</v>
      </c>
      <c r="R40" s="230" t="s">
        <v>200</v>
      </c>
      <c r="S40" s="231">
        <v>100.6</v>
      </c>
      <c r="T40" s="230" t="s">
        <v>200</v>
      </c>
      <c r="U40" s="231">
        <v>100.6</v>
      </c>
      <c r="V40" s="230" t="s">
        <v>200</v>
      </c>
      <c r="W40" s="231">
        <v>100.5</v>
      </c>
      <c r="X40" s="230" t="s">
        <v>200</v>
      </c>
      <c r="Y40" s="231">
        <v>100.9</v>
      </c>
      <c r="Z40" s="230" t="s">
        <v>200</v>
      </c>
      <c r="AA40" s="231">
        <v>109.3</v>
      </c>
      <c r="AB40" s="230" t="s">
        <v>200</v>
      </c>
      <c r="AC40" s="231">
        <v>110.6</v>
      </c>
      <c r="AD40" s="230" t="s">
        <v>200</v>
      </c>
      <c r="AE40" s="231">
        <v>110.5</v>
      </c>
      <c r="AF40" s="230" t="s">
        <v>200</v>
      </c>
      <c r="AG40" s="231">
        <v>114.3</v>
      </c>
      <c r="AH40" s="230" t="s">
        <v>200</v>
      </c>
      <c r="AI40" s="231">
        <v>122.2</v>
      </c>
      <c r="AJ40" s="230" t="s">
        <v>200</v>
      </c>
      <c r="AK40" s="231">
        <v>124.6</v>
      </c>
      <c r="AL40" s="230" t="s">
        <v>200</v>
      </c>
      <c r="AM40" s="231">
        <v>126.7</v>
      </c>
      <c r="AN40" s="230" t="s">
        <v>200</v>
      </c>
      <c r="AO40" s="231">
        <v>126.9</v>
      </c>
      <c r="AP40" s="230" t="s">
        <v>200</v>
      </c>
      <c r="AQ40" s="231">
        <v>128.19999999999999</v>
      </c>
      <c r="AR40" s="230" t="s">
        <v>200</v>
      </c>
      <c r="AS40" s="229">
        <v>130</v>
      </c>
      <c r="AT40" s="230" t="s">
        <v>200</v>
      </c>
      <c r="AU40" s="229">
        <v>133</v>
      </c>
      <c r="AV40" s="230" t="s">
        <v>200</v>
      </c>
      <c r="AW40" s="231">
        <v>134.19999999999999</v>
      </c>
      <c r="AX40" s="230" t="s">
        <v>200</v>
      </c>
      <c r="AY40" s="231">
        <v>144.30000000000001</v>
      </c>
      <c r="AZ40" s="230" t="s">
        <v>200</v>
      </c>
      <c r="BA40" s="231">
        <v>150.4</v>
      </c>
      <c r="BB40" s="230" t="s">
        <v>200</v>
      </c>
      <c r="BC40" s="231">
        <v>150.4</v>
      </c>
      <c r="BD40" s="230" t="s">
        <v>200</v>
      </c>
      <c r="BE40" s="231">
        <v>150.30000000000001</v>
      </c>
      <c r="BF40" s="230" t="s">
        <v>200</v>
      </c>
      <c r="BG40" s="231">
        <v>150.6</v>
      </c>
      <c r="BH40" s="230" t="s">
        <v>200</v>
      </c>
      <c r="BI40" s="231">
        <v>150.69999999999999</v>
      </c>
      <c r="BJ40" s="230" t="s">
        <v>200</v>
      </c>
      <c r="BK40" s="229">
        <v>150</v>
      </c>
      <c r="BL40" s="230" t="s">
        <v>200</v>
      </c>
      <c r="BM40" s="231">
        <v>149.19999999999999</v>
      </c>
      <c r="BN40" s="230" t="s">
        <v>200</v>
      </c>
      <c r="BO40" s="231">
        <v>149.4</v>
      </c>
      <c r="BP40" s="230" t="s">
        <v>200</v>
      </c>
      <c r="BQ40" s="231">
        <v>149.5</v>
      </c>
      <c r="BR40" s="230" t="s">
        <v>200</v>
      </c>
      <c r="BS40" s="231">
        <v>149.1</v>
      </c>
      <c r="BT40" s="230" t="s">
        <v>200</v>
      </c>
      <c r="BU40" s="231">
        <v>149.4</v>
      </c>
      <c r="BV40" s="230" t="s">
        <v>200</v>
      </c>
      <c r="BW40" s="231">
        <v>151.4</v>
      </c>
      <c r="BX40" s="230" t="s">
        <v>200</v>
      </c>
      <c r="BY40" s="231">
        <v>152.9</v>
      </c>
      <c r="BZ40" s="230" t="s">
        <v>200</v>
      </c>
      <c r="CA40" s="231">
        <v>153.9</v>
      </c>
      <c r="CB40" s="230" t="s">
        <v>200</v>
      </c>
      <c r="CC40" s="231">
        <v>153.80000000000001</v>
      </c>
      <c r="CD40" s="230" t="s">
        <v>200</v>
      </c>
      <c r="CE40" s="231">
        <v>152.80000000000001</v>
      </c>
      <c r="CF40" s="230" t="s">
        <v>200</v>
      </c>
      <c r="CG40" s="231">
        <v>151.5</v>
      </c>
      <c r="CH40" s="230" t="s">
        <v>200</v>
      </c>
      <c r="CI40" s="231">
        <v>151.5</v>
      </c>
      <c r="CJ40" s="230" t="s">
        <v>200</v>
      </c>
      <c r="CK40" s="231">
        <v>151.5</v>
      </c>
      <c r="CL40" s="230" t="s">
        <v>200</v>
      </c>
      <c r="CM40" s="231">
        <v>151.69999999999999</v>
      </c>
      <c r="CN40" s="230" t="s">
        <v>200</v>
      </c>
      <c r="CO40" s="231">
        <v>151.19999999999999</v>
      </c>
      <c r="CP40" s="230" t="s">
        <v>200</v>
      </c>
      <c r="CQ40" s="231">
        <v>150.5</v>
      </c>
      <c r="CR40" s="230" t="s">
        <v>200</v>
      </c>
      <c r="CS40" s="231">
        <v>150.4</v>
      </c>
      <c r="CT40" s="230" t="s">
        <v>200</v>
      </c>
    </row>
    <row r="41" spans="2:98" x14ac:dyDescent="0.2">
      <c r="B41" s="228" t="s">
        <v>73</v>
      </c>
      <c r="C41" s="229">
        <v>99</v>
      </c>
      <c r="D41" s="230" t="s">
        <v>200</v>
      </c>
      <c r="E41" s="231">
        <v>99.2</v>
      </c>
      <c r="F41" s="230" t="s">
        <v>200</v>
      </c>
      <c r="G41" s="231">
        <v>99.1</v>
      </c>
      <c r="H41" s="230" t="s">
        <v>200</v>
      </c>
      <c r="I41" s="231">
        <v>99.6</v>
      </c>
      <c r="J41" s="230" t="s">
        <v>200</v>
      </c>
      <c r="K41" s="231">
        <v>99.7</v>
      </c>
      <c r="L41" s="230" t="s">
        <v>200</v>
      </c>
      <c r="M41" s="231">
        <v>100.1</v>
      </c>
      <c r="N41" s="230" t="s">
        <v>200</v>
      </c>
      <c r="O41" s="229">
        <v>100</v>
      </c>
      <c r="P41" s="230" t="s">
        <v>200</v>
      </c>
      <c r="Q41" s="231">
        <v>101.3</v>
      </c>
      <c r="R41" s="230" t="s">
        <v>200</v>
      </c>
      <c r="S41" s="231">
        <v>100.7</v>
      </c>
      <c r="T41" s="230" t="s">
        <v>200</v>
      </c>
      <c r="U41" s="231">
        <v>100.5</v>
      </c>
      <c r="V41" s="230" t="s">
        <v>200</v>
      </c>
      <c r="W41" s="231">
        <v>100.5</v>
      </c>
      <c r="X41" s="230" t="s">
        <v>200</v>
      </c>
      <c r="Y41" s="231">
        <v>100.5</v>
      </c>
      <c r="Z41" s="230" t="s">
        <v>200</v>
      </c>
      <c r="AA41" s="231">
        <v>102.1</v>
      </c>
      <c r="AB41" s="230" t="s">
        <v>200</v>
      </c>
      <c r="AC41" s="229">
        <v>104</v>
      </c>
      <c r="AD41" s="230" t="s">
        <v>200</v>
      </c>
      <c r="AE41" s="231">
        <v>103.9</v>
      </c>
      <c r="AF41" s="230" t="s">
        <v>200</v>
      </c>
      <c r="AG41" s="231">
        <v>111.4</v>
      </c>
      <c r="AH41" s="230" t="s">
        <v>200</v>
      </c>
      <c r="AI41" s="231">
        <v>118.7</v>
      </c>
      <c r="AJ41" s="230" t="s">
        <v>200</v>
      </c>
      <c r="AK41" s="231">
        <v>120.5</v>
      </c>
      <c r="AL41" s="230" t="s">
        <v>200</v>
      </c>
      <c r="AM41" s="231">
        <v>122.8</v>
      </c>
      <c r="AN41" s="230" t="s">
        <v>200</v>
      </c>
      <c r="AO41" s="229">
        <v>123</v>
      </c>
      <c r="AP41" s="230" t="s">
        <v>200</v>
      </c>
      <c r="AQ41" s="231">
        <v>126.3</v>
      </c>
      <c r="AR41" s="230" t="s">
        <v>200</v>
      </c>
      <c r="AS41" s="231">
        <v>127.4</v>
      </c>
      <c r="AT41" s="230" t="s">
        <v>200</v>
      </c>
      <c r="AU41" s="231">
        <v>125.6</v>
      </c>
      <c r="AV41" s="230" t="s">
        <v>200</v>
      </c>
      <c r="AW41" s="231">
        <v>126.8</v>
      </c>
      <c r="AX41" s="230" t="s">
        <v>200</v>
      </c>
      <c r="AY41" s="231">
        <v>144.4</v>
      </c>
      <c r="AZ41" s="230" t="s">
        <v>200</v>
      </c>
      <c r="BA41" s="231">
        <v>157.19999999999999</v>
      </c>
      <c r="BB41" s="230" t="s">
        <v>200</v>
      </c>
      <c r="BC41" s="231">
        <v>157.9</v>
      </c>
      <c r="BD41" s="230" t="s">
        <v>200</v>
      </c>
      <c r="BE41" s="231">
        <v>158.5</v>
      </c>
      <c r="BF41" s="230" t="s">
        <v>200</v>
      </c>
      <c r="BG41" s="231">
        <v>157.4</v>
      </c>
      <c r="BH41" s="230" t="s">
        <v>200</v>
      </c>
      <c r="BI41" s="231">
        <v>158.19999999999999</v>
      </c>
      <c r="BJ41" s="230" t="s">
        <v>200</v>
      </c>
      <c r="BK41" s="231">
        <v>156.30000000000001</v>
      </c>
      <c r="BL41" s="230" t="s">
        <v>200</v>
      </c>
      <c r="BM41" s="231">
        <v>155.30000000000001</v>
      </c>
      <c r="BN41" s="230" t="s">
        <v>200</v>
      </c>
      <c r="BO41" s="231">
        <v>155.5</v>
      </c>
      <c r="BP41" s="230" t="s">
        <v>200</v>
      </c>
      <c r="BQ41" s="231">
        <v>155.19999999999999</v>
      </c>
      <c r="BR41" s="230" t="s">
        <v>200</v>
      </c>
      <c r="BS41" s="231">
        <v>155.4</v>
      </c>
      <c r="BT41" s="230" t="s">
        <v>200</v>
      </c>
      <c r="BU41" s="229">
        <v>157</v>
      </c>
      <c r="BV41" s="230" t="s">
        <v>200</v>
      </c>
      <c r="BW41" s="231">
        <v>156.69999999999999</v>
      </c>
      <c r="BX41" s="230" t="s">
        <v>200</v>
      </c>
      <c r="BY41" s="231">
        <v>159.69999999999999</v>
      </c>
      <c r="BZ41" s="230" t="s">
        <v>200</v>
      </c>
      <c r="CA41" s="231">
        <v>160.6</v>
      </c>
      <c r="CB41" s="230" t="s">
        <v>200</v>
      </c>
      <c r="CC41" s="231">
        <v>159.5</v>
      </c>
      <c r="CD41" s="230" t="s">
        <v>200</v>
      </c>
      <c r="CE41" s="231">
        <v>157.5</v>
      </c>
      <c r="CF41" s="230" t="s">
        <v>200</v>
      </c>
      <c r="CG41" s="231">
        <v>155.9</v>
      </c>
      <c r="CH41" s="230" t="s">
        <v>200</v>
      </c>
      <c r="CI41" s="231">
        <v>155.5</v>
      </c>
      <c r="CJ41" s="230" t="s">
        <v>200</v>
      </c>
      <c r="CK41" s="231">
        <v>155.5</v>
      </c>
      <c r="CL41" s="230" t="s">
        <v>200</v>
      </c>
      <c r="CM41" s="231">
        <v>156.9</v>
      </c>
      <c r="CN41" s="230" t="s">
        <v>200</v>
      </c>
      <c r="CO41" s="231">
        <v>156.5</v>
      </c>
      <c r="CP41" s="230" t="s">
        <v>200</v>
      </c>
      <c r="CQ41" s="231">
        <v>156.5</v>
      </c>
      <c r="CR41" s="230" t="s">
        <v>200</v>
      </c>
      <c r="CS41" s="231">
        <v>155.9</v>
      </c>
      <c r="CT41" s="230" t="s">
        <v>200</v>
      </c>
    </row>
    <row r="44" spans="2:98" x14ac:dyDescent="0.2">
      <c r="B44" s="22" t="s">
        <v>839</v>
      </c>
      <c r="C44" s="8">
        <f>AVERAGE(BW40:CT40)/100</f>
        <v>1.5192500000000002</v>
      </c>
    </row>
    <row r="45" spans="2:98" x14ac:dyDescent="0.2">
      <c r="B45" s="22" t="s">
        <v>840</v>
      </c>
      <c r="C45" s="8">
        <f>AVERAGE(BW41:CT41)/100</f>
        <v>1.5722500000000001</v>
      </c>
    </row>
  </sheetData>
  <mergeCells count="48">
    <mergeCell ref="AO38:AP38"/>
    <mergeCell ref="CM38:CN38"/>
    <mergeCell ref="BE38:BF38"/>
    <mergeCell ref="BG38:BH38"/>
    <mergeCell ref="BI38:BJ38"/>
    <mergeCell ref="BK38:BL38"/>
    <mergeCell ref="BM38:BN38"/>
    <mergeCell ref="BO38:BP38"/>
    <mergeCell ref="BQ38:BR38"/>
    <mergeCell ref="BS38:BT38"/>
    <mergeCell ref="CC38:CD38"/>
    <mergeCell ref="CE38:CF38"/>
    <mergeCell ref="CG38:CH38"/>
    <mergeCell ref="CI38:CJ38"/>
    <mergeCell ref="CK38:CL38"/>
    <mergeCell ref="W38:X38"/>
    <mergeCell ref="AG38:AH38"/>
    <mergeCell ref="AI38:AJ38"/>
    <mergeCell ref="AK38:AL38"/>
    <mergeCell ref="AM38:AN38"/>
    <mergeCell ref="CO38:CP38"/>
    <mergeCell ref="CQ38:CR38"/>
    <mergeCell ref="CS38:CT38"/>
    <mergeCell ref="BU38:BV38"/>
    <mergeCell ref="BW38:BX38"/>
    <mergeCell ref="BY38:BZ38"/>
    <mergeCell ref="CA38:CB38"/>
    <mergeCell ref="AY38:AZ38"/>
    <mergeCell ref="BA38:BB38"/>
    <mergeCell ref="BC38:BD38"/>
    <mergeCell ref="AS38:AT38"/>
    <mergeCell ref="AU38:AV38"/>
    <mergeCell ref="C38:D38"/>
    <mergeCell ref="E38:F38"/>
    <mergeCell ref="G38:H38"/>
    <mergeCell ref="I38:J38"/>
    <mergeCell ref="AW38:AX38"/>
    <mergeCell ref="AQ38:AR38"/>
    <mergeCell ref="K38:L38"/>
    <mergeCell ref="M38:N38"/>
    <mergeCell ref="O38:P38"/>
    <mergeCell ref="Q38:R38"/>
    <mergeCell ref="S38:T38"/>
    <mergeCell ref="U38:V38"/>
    <mergeCell ref="Y38:Z38"/>
    <mergeCell ref="AA38:AB38"/>
    <mergeCell ref="AC38:AD38"/>
    <mergeCell ref="AE38:AF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Input Parameters</vt:lpstr>
      <vt:lpstr>Transport and Storage</vt:lpstr>
      <vt:lpstr>Capture Model</vt:lpstr>
      <vt:lpstr>ETS</vt:lpstr>
      <vt:lpstr>Inflation and WACC</vt:lpstr>
      <vt:lpstr>Cost of CO2 Avoided</vt:lpstr>
      <vt:lpstr>Policies</vt:lpstr>
      <vt:lpstr>Scenario Design</vt:lpstr>
      <vt:lpstr>Sensitivities</vt:lpstr>
      <vt:lpstr>RQ1</vt:lpstr>
      <vt:lpstr>RQ2</vt:lpstr>
      <vt:lpstr>Cement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Bey</dc:creator>
  <cp:lastModifiedBy>Sebastian Bey</cp:lastModifiedBy>
  <dcterms:created xsi:type="dcterms:W3CDTF">2026-02-25T10:16:04Z</dcterms:created>
  <dcterms:modified xsi:type="dcterms:W3CDTF">2026-07-02T22:21:44Z</dcterms:modified>
</cp:coreProperties>
</file>