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ssumptions" sheetId="1" state="hidden" r:id="rId1"/>
    <sheet xmlns:r="http://schemas.openxmlformats.org/officeDocument/2006/relationships" name="DCF model" sheetId="2" state="visible" r:id="rId2"/>
  </sheets>
  <definedNames>
    <definedName name="DiscountRate">Assumptions!$B$1</definedName>
    <definedName name="TaxRate" localSheetId="1">0.25</definedName>
    <definedName name="_xlnm._FilterDatabase" localSheetId="1" hidden="1">'DCF model'!$A$2:$E$3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0.0%"/>
    <numFmt numFmtId="166" formatCode="yyyy-mm-dd"/>
    <numFmt numFmtId="167" formatCode="#,##0.00;[Red](#,##0.00);&quot;—&quot;"/>
    <numFmt numFmtId="168" formatCode="0.0,,&quot;m&quot;"/>
    <numFmt numFmtId="169" formatCode="0.0&quot;x&quot;"/>
    <numFmt numFmtId="170" formatCode="[h]:mm"/>
    <numFmt numFmtId="171" formatCode="mm/dd/yyyy"/>
  </numFmts>
  <fonts count="2">
    <font>
      <name val="Calibri"/>
      <family val="2"/>
      <color theme="1"/>
      <sz val="11"/>
      <scheme val="minor"/>
    </font>
    <font>
      <name val="Calibri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12345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1" fillId="0" borderId="1" applyAlignment="1" pivotButton="0" quotePrefix="0" xfId="0">
      <alignment horizontal="right" indent="1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  <c r="B1" s="1" t="n">
        <v>0.1</v>
      </c>
    </row>
    <row r="2">
      <c r="A2" t="inlineStr">
        <is>
          <t>Principal</t>
        </is>
      </c>
      <c r="B2" t="n">
        <v>250000</v>
      </c>
    </row>
    <row r="3">
      <c r="A3" t="inlineStr">
        <is>
          <t>First date</t>
        </is>
      </c>
      <c r="B3" s="2" t="n">
        <v>46023</v>
      </c>
    </row>
    <row r="4">
      <c r="A4" t="inlineStr">
        <is>
          <t>Next date</t>
        </is>
      </c>
      <c r="B4" s="2" t="n">
        <v>46388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hidden="1" width="13" customWidth="1" min="6" max="6"/>
  </cols>
  <sheetData>
    <row r="1" ht="32" customHeight="1">
      <c r="A1" t="inlineStr">
        <is>
          <t>Illustrative DCF — independent fixture</t>
        </is>
      </c>
    </row>
    <row r="2">
      <c r="A2" t="inlineStr">
        <is>
          <t>Cash flow</t>
        </is>
      </c>
      <c r="B2" t="inlineStr">
        <is>
          <t>Year 0</t>
        </is>
      </c>
      <c r="C2" t="inlineStr">
        <is>
          <t>Year 1</t>
        </is>
      </c>
      <c r="D2" t="inlineStr">
        <is>
          <t>Year 2</t>
        </is>
      </c>
      <c r="E2" t="inlineStr">
        <is>
          <t>Year 3</t>
        </is>
      </c>
    </row>
    <row r="3">
      <c r="A3" t="inlineStr">
        <is>
          <t>Unlevered cash flow</t>
        </is>
      </c>
      <c r="B3" t="n">
        <v>-100</v>
      </c>
      <c r="C3" t="n">
        <v>100</v>
      </c>
      <c r="D3" t="n">
        <v>120</v>
      </c>
      <c r="E3" t="n">
        <v>140</v>
      </c>
    </row>
    <row r="4">
      <c r="B4">
        <f>NPV(DiscountRate,C3:E3)+B3</f>
        <v/>
      </c>
    </row>
    <row r="5">
      <c r="B5">
        <f>IRR(B7:C7)</f>
        <v/>
      </c>
    </row>
    <row r="6" hidden="1"/>
    <row r="7">
      <c r="B7" t="n">
        <v>-100</v>
      </c>
      <c r="C7" t="n">
        <v>110</v>
      </c>
    </row>
    <row r="8">
      <c r="B8">
        <f>XIRR(B7:C7,Assumptions!B3:B4)</f>
        <v/>
      </c>
    </row>
    <row r="9">
      <c r="B9">
        <f>PMT(0.06/12,360,Assumptions!B2)</f>
        <v/>
      </c>
    </row>
    <row r="10">
      <c r="B10">
        <f>SUM($C$3:E3)</f>
        <v/>
      </c>
      <c r="C10">
        <f>B10*DiscountRate</f>
        <v/>
      </c>
    </row>
    <row r="11">
      <c r="B11">
        <f>SUMIFS(C3:E3,C3:E3,"&gt;100")</f>
        <v/>
      </c>
    </row>
    <row r="12">
      <c r="B12">
        <f>INDEX(C3:E3,1,MATCH(120,C3:E3,0))</f>
        <v/>
      </c>
    </row>
    <row r="13">
      <c r="B13">
        <f>IFERROR(1/0,0)</f>
        <v/>
      </c>
    </row>
    <row r="14">
      <c r="B14">
        <f>TaxRate*100</f>
        <v/>
      </c>
    </row>
    <row r="16">
      <c r="A16" t="inlineStr">
        <is>
          <t>0000123</t>
        </is>
      </c>
      <c r="B16">
        <f>1/3</f>
        <v/>
      </c>
      <c r="C16">
        <f>B16*3</f>
        <v/>
      </c>
      <c r="D16" t="inlineStr">
        <is>
          <t>literal =SUM(1,2)</t>
        </is>
      </c>
      <c r="E16" t="b">
        <v>1</v>
      </c>
    </row>
    <row r="18">
      <c r="B18" s="3" t="n">
        <v>-1250000.125</v>
      </c>
    </row>
    <row r="19">
      <c r="B19" s="4" t="n">
        <v>0</v>
      </c>
    </row>
    <row r="20">
      <c r="B20" s="5" t="n">
        <v>1250000</v>
      </c>
    </row>
    <row r="21">
      <c r="B21" s="6" t="n">
        <v>1.25</v>
      </c>
    </row>
    <row r="22">
      <c r="B22" s="7" t="n">
        <v>0.125</v>
      </c>
    </row>
    <row r="23">
      <c r="B23" s="8" t="n">
        <v>1.5</v>
      </c>
    </row>
    <row r="24">
      <c r="B24" s="9" t="n">
        <v>60</v>
      </c>
    </row>
  </sheetData>
  <autoFilter ref="A2:E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2026-09-17T20:14:11Z</dcterms:created>
  <dcterms:modified xmlns:dcterms="http://purl.org/dc/terms/" xmlns:xsi="http://www.w3.org/2001/XMLSchema-instance" xsi:type="dcterms:W3CDTF">2026-09-17T20:14:11Z</dcterms:modified>
</cp:coreProperties>
</file>